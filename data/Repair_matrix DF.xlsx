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intern\Downloads\"/>
    </mc:Choice>
  </mc:AlternateContent>
  <xr:revisionPtr revIDLastSave="0" documentId="13_ncr:1_{59C361B3-B018-4759-B55D-A77329C1EB5A}" xr6:coauthVersionLast="47" xr6:coauthVersionMax="47" xr10:uidLastSave="{00000000-0000-0000-0000-000000000000}"/>
  <bookViews>
    <workbookView xWindow="-120" yWindow="-120" windowWidth="29040" windowHeight="15840" tabRatio="368" xr2:uid="{00000000-000D-0000-FFFF-FFFF00000000}"/>
  </bookViews>
  <sheets>
    <sheet name="TW - ASML AVR" sheetId="2" r:id="rId1"/>
    <sheet name="Component Costs" sheetId="4" r:id="rId2"/>
    <sheet name="History" sheetId="3" r:id="rId3"/>
    <sheet name="Calc." sheetId="5" r:id="rId4"/>
    <sheet name="INTERNAL DOCUMENT" sheetId="6" r:id="rId5"/>
  </sheets>
  <definedNames>
    <definedName name="Arm_No">'Calc.'!#REF!</definedName>
    <definedName name="DM_No">'Calc.'!#REF!</definedName>
    <definedName name="_xlnm.Print_Area" localSheetId="3">'Calc.'!#REF!</definedName>
    <definedName name="_xlnm.Print_Area" localSheetId="4">'INTERNAL DOCUMENT'!$A$1:$U$56</definedName>
    <definedName name="_xlnm.Print_Area" localSheetId="0">'TW - ASML AVR'!$A$1:$I$68</definedName>
    <definedName name="Stundensatz" localSheetId="3">'Calc.'!$M$1</definedName>
    <definedName name="Z_No">'Calc.'!#REF!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3" i="2" l="1"/>
  <c r="H46" i="5" l="1"/>
  <c r="S84" i="5"/>
  <c r="H15" i="5" l="1"/>
  <c r="H17" i="5" s="1"/>
  <c r="D49" i="5"/>
  <c r="E49" i="5"/>
  <c r="C49" i="5"/>
  <c r="O97" i="5"/>
  <c r="O104" i="5"/>
  <c r="O91" i="5"/>
  <c r="H91" i="5"/>
  <c r="I91" i="5" s="1"/>
  <c r="F91" i="5"/>
  <c r="E91" i="5"/>
  <c r="D48" i="5"/>
  <c r="C48" i="5"/>
  <c r="D47" i="5"/>
  <c r="D46" i="2"/>
  <c r="F46" i="2" s="1"/>
  <c r="T104" i="5" s="1"/>
  <c r="V104" i="5" s="1"/>
  <c r="Q104" i="5"/>
  <c r="P104" i="5"/>
  <c r="S104" i="5" s="1"/>
  <c r="U104" i="5" s="1"/>
  <c r="P97" i="5"/>
  <c r="G107" i="5"/>
  <c r="E109" i="5"/>
  <c r="E108" i="5"/>
  <c r="E107" i="5"/>
  <c r="E106" i="5"/>
  <c r="C47" i="5" l="1"/>
  <c r="H45" i="5" s="1"/>
  <c r="H47" i="5"/>
  <c r="W104" i="5"/>
  <c r="G106" i="5"/>
  <c r="G108" i="5" s="1"/>
  <c r="I104" i="5" s="1"/>
  <c r="Q12" i="5"/>
  <c r="P12" i="5"/>
  <c r="E47" i="5"/>
  <c r="D57" i="2"/>
  <c r="R114" i="5" s="1"/>
  <c r="S118" i="5"/>
  <c r="D22" i="2" l="1"/>
  <c r="F22" i="2" s="1"/>
  <c r="Q44" i="5"/>
  <c r="T44" i="5" s="1"/>
  <c r="V44" i="5" s="1"/>
  <c r="P44" i="5"/>
  <c r="S44" i="5" s="1"/>
  <c r="U44" i="5" s="1"/>
  <c r="D61" i="5"/>
  <c r="E61" i="5" s="1"/>
  <c r="F61" i="5" s="1"/>
  <c r="D62" i="5"/>
  <c r="E62" i="5" s="1"/>
  <c r="F62" i="5" s="1"/>
  <c r="D67" i="5"/>
  <c r="T90" i="5"/>
  <c r="S90" i="5"/>
  <c r="O90" i="5"/>
  <c r="H90" i="5"/>
  <c r="E90" i="5"/>
  <c r="F90" i="5" s="1"/>
  <c r="S89" i="5"/>
  <c r="O89" i="5"/>
  <c r="T89" i="5"/>
  <c r="H89" i="5"/>
  <c r="E89" i="5"/>
  <c r="F89" i="5" s="1"/>
  <c r="H88" i="5"/>
  <c r="E88" i="5"/>
  <c r="F88" i="5" s="1"/>
  <c r="O88" i="5"/>
  <c r="O86" i="5"/>
  <c r="O87" i="5"/>
  <c r="H87" i="5"/>
  <c r="E87" i="5"/>
  <c r="F87" i="5" s="1"/>
  <c r="H86" i="5"/>
  <c r="E86" i="5"/>
  <c r="F86" i="5" s="1"/>
  <c r="O85" i="5"/>
  <c r="H85" i="5"/>
  <c r="E85" i="5"/>
  <c r="F85" i="5" s="1"/>
  <c r="O84" i="5"/>
  <c r="H84" i="5"/>
  <c r="E84" i="5"/>
  <c r="F84" i="5" s="1"/>
  <c r="T122" i="5"/>
  <c r="S115" i="5"/>
  <c r="S116" i="5"/>
  <c r="S117" i="5"/>
  <c r="S119" i="5"/>
  <c r="S120" i="5"/>
  <c r="S121" i="5"/>
  <c r="S122" i="5"/>
  <c r="R115" i="5"/>
  <c r="R116" i="5"/>
  <c r="R117" i="5"/>
  <c r="R118" i="5"/>
  <c r="U118" i="5" s="1"/>
  <c r="R119" i="5"/>
  <c r="R120" i="5"/>
  <c r="R121" i="5"/>
  <c r="R122" i="5"/>
  <c r="R123" i="5"/>
  <c r="S114" i="5"/>
  <c r="T121" i="5"/>
  <c r="T120" i="5"/>
  <c r="T119" i="5"/>
  <c r="T118" i="5"/>
  <c r="T117" i="5"/>
  <c r="T116" i="5"/>
  <c r="T115" i="5"/>
  <c r="D51" i="2"/>
  <c r="Q97" i="5"/>
  <c r="S97" i="5"/>
  <c r="U97" i="5" s="1"/>
  <c r="O62" i="5"/>
  <c r="O63" i="5"/>
  <c r="O64" i="5"/>
  <c r="O65" i="5"/>
  <c r="O66" i="5"/>
  <c r="O67" i="5"/>
  <c r="O68" i="5"/>
  <c r="O69" i="5"/>
  <c r="O70" i="5"/>
  <c r="O71" i="5"/>
  <c r="O61" i="5"/>
  <c r="S71" i="5"/>
  <c r="T71" i="5"/>
  <c r="D44" i="2"/>
  <c r="Q74" i="5"/>
  <c r="T74" i="5" s="1"/>
  <c r="V74" i="5" s="1"/>
  <c r="P74" i="5"/>
  <c r="S74" i="5" s="1"/>
  <c r="U74" i="5" s="1"/>
  <c r="O74" i="5"/>
  <c r="O53" i="5"/>
  <c r="O38" i="5"/>
  <c r="O26" i="5"/>
  <c r="O12" i="5"/>
  <c r="D70" i="5"/>
  <c r="E70" i="5" s="1"/>
  <c r="F70" i="5" s="1"/>
  <c r="E69" i="5"/>
  <c r="F69" i="5" s="1"/>
  <c r="I71" i="5"/>
  <c r="I72" i="5"/>
  <c r="E63" i="5"/>
  <c r="F63" i="5" s="1"/>
  <c r="H61" i="5"/>
  <c r="E64" i="5"/>
  <c r="F64" i="5" s="1"/>
  <c r="E65" i="5"/>
  <c r="F65" i="5" s="1"/>
  <c r="E66" i="5"/>
  <c r="F66" i="5" s="1"/>
  <c r="E67" i="5"/>
  <c r="F67" i="5" s="1"/>
  <c r="E68" i="5"/>
  <c r="F68" i="5" s="1"/>
  <c r="R44" i="5" l="1"/>
  <c r="W44" i="5"/>
  <c r="I88" i="5"/>
  <c r="Q88" i="5" s="1"/>
  <c r="I89" i="5"/>
  <c r="U89" i="5" s="1"/>
  <c r="I85" i="5"/>
  <c r="Q85" i="5" s="1"/>
  <c r="I86" i="5"/>
  <c r="P86" i="5" s="1"/>
  <c r="S86" i="5" s="1"/>
  <c r="U86" i="5" s="1"/>
  <c r="U115" i="5"/>
  <c r="I61" i="5"/>
  <c r="P61" i="5" s="1"/>
  <c r="S61" i="5" s="1"/>
  <c r="U61" i="5" s="1"/>
  <c r="I90" i="5"/>
  <c r="T85" i="5"/>
  <c r="P88" i="5"/>
  <c r="S88" i="5" s="1"/>
  <c r="U88" i="5" s="1"/>
  <c r="T114" i="5"/>
  <c r="V114" i="5" s="1"/>
  <c r="T86" i="5"/>
  <c r="I87" i="5"/>
  <c r="I84" i="5"/>
  <c r="E48" i="5" s="1"/>
  <c r="U120" i="5"/>
  <c r="U116" i="5"/>
  <c r="V119" i="5"/>
  <c r="V122" i="5"/>
  <c r="V118" i="5"/>
  <c r="V120" i="5"/>
  <c r="U122" i="5"/>
  <c r="U117" i="5"/>
  <c r="V116" i="5"/>
  <c r="U121" i="5"/>
  <c r="V121" i="5"/>
  <c r="V117" i="5"/>
  <c r="U114" i="5"/>
  <c r="U119" i="5"/>
  <c r="V115" i="5"/>
  <c r="R74" i="5"/>
  <c r="W74" i="5"/>
  <c r="H69" i="5"/>
  <c r="I69" i="5" s="1"/>
  <c r="H70" i="5"/>
  <c r="I70" i="5" s="1"/>
  <c r="H68" i="5"/>
  <c r="I68" i="5" s="1"/>
  <c r="H65" i="5"/>
  <c r="I65" i="5" s="1"/>
  <c r="H67" i="5"/>
  <c r="I67" i="5" s="1"/>
  <c r="H66" i="5"/>
  <c r="I66" i="5" s="1"/>
  <c r="H64" i="5"/>
  <c r="I64" i="5" s="1"/>
  <c r="H63" i="5"/>
  <c r="I63" i="5" s="1"/>
  <c r="Q63" i="5" s="1"/>
  <c r="T63" i="5" s="1"/>
  <c r="V63" i="5" s="1"/>
  <c r="H62" i="5"/>
  <c r="I62" i="5" s="1"/>
  <c r="H55" i="5"/>
  <c r="E55" i="5"/>
  <c r="E56" i="5"/>
  <c r="E41" i="5"/>
  <c r="H40" i="5" s="1"/>
  <c r="E29" i="5"/>
  <c r="E30" i="5"/>
  <c r="E31" i="5"/>
  <c r="E32" i="5"/>
  <c r="E33" i="5"/>
  <c r="E34" i="5"/>
  <c r="E35" i="5"/>
  <c r="E7" i="5"/>
  <c r="E6" i="5"/>
  <c r="E5" i="5"/>
  <c r="H41" i="5"/>
  <c r="H30" i="5"/>
  <c r="W117" i="5" l="1"/>
  <c r="V86" i="5"/>
  <c r="W86" i="5" s="1"/>
  <c r="D43" i="2"/>
  <c r="Q61" i="5"/>
  <c r="Q86" i="5"/>
  <c r="D49" i="2"/>
  <c r="D42" i="2"/>
  <c r="D29" i="2"/>
  <c r="V85" i="5"/>
  <c r="P85" i="5"/>
  <c r="S85" i="5" s="1"/>
  <c r="U85" i="5" s="1"/>
  <c r="W120" i="5"/>
  <c r="W122" i="5"/>
  <c r="P90" i="5"/>
  <c r="D52" i="2"/>
  <c r="V90" i="5"/>
  <c r="U90" i="5"/>
  <c r="P89" i="5"/>
  <c r="Q89" i="5"/>
  <c r="D50" i="2"/>
  <c r="F50" i="2" s="1"/>
  <c r="V89" i="5"/>
  <c r="W89" i="5" s="1"/>
  <c r="W115" i="5"/>
  <c r="W119" i="5"/>
  <c r="Q90" i="5"/>
  <c r="D41" i="2"/>
  <c r="P84" i="5"/>
  <c r="U84" i="5" s="1"/>
  <c r="Q84" i="5"/>
  <c r="P87" i="5"/>
  <c r="D45" i="2"/>
  <c r="Q87" i="5"/>
  <c r="T87" i="5" s="1"/>
  <c r="V87" i="5" s="1"/>
  <c r="T88" i="5"/>
  <c r="V88" i="5" s="1"/>
  <c r="W88" i="5" s="1"/>
  <c r="W114" i="5"/>
  <c r="W116" i="5"/>
  <c r="W118" i="5"/>
  <c r="W121" i="5"/>
  <c r="H29" i="5"/>
  <c r="D32" i="2"/>
  <c r="P64" i="5"/>
  <c r="S64" i="5" s="1"/>
  <c r="U64" i="5" s="1"/>
  <c r="Q64" i="5"/>
  <c r="D36" i="2"/>
  <c r="P68" i="5"/>
  <c r="S68" i="5" s="1"/>
  <c r="U68" i="5" s="1"/>
  <c r="Q68" i="5"/>
  <c r="P66" i="5"/>
  <c r="S66" i="5" s="1"/>
  <c r="U66" i="5" s="1"/>
  <c r="Q66" i="5"/>
  <c r="D34" i="2"/>
  <c r="D30" i="2"/>
  <c r="Q62" i="5"/>
  <c r="T62" i="5" s="1"/>
  <c r="V62" i="5" s="1"/>
  <c r="P62" i="5"/>
  <c r="P67" i="5"/>
  <c r="S67" i="5" s="1"/>
  <c r="U67" i="5" s="1"/>
  <c r="D35" i="2"/>
  <c r="P69" i="5"/>
  <c r="S69" i="5" s="1"/>
  <c r="U69" i="5" s="1"/>
  <c r="Q69" i="5"/>
  <c r="D37" i="2"/>
  <c r="Q67" i="5"/>
  <c r="T67" i="5" s="1"/>
  <c r="V67" i="5" s="1"/>
  <c r="R61" i="5"/>
  <c r="T61" i="5"/>
  <c r="V61" i="5" s="1"/>
  <c r="W61" i="5" s="1"/>
  <c r="H54" i="5"/>
  <c r="H56" i="5" s="1"/>
  <c r="P63" i="5"/>
  <c r="S63" i="5" s="1"/>
  <c r="U63" i="5" s="1"/>
  <c r="W63" i="5" s="1"/>
  <c r="D31" i="2"/>
  <c r="Q65" i="5"/>
  <c r="D33" i="2"/>
  <c r="P65" i="5"/>
  <c r="S65" i="5" s="1"/>
  <c r="U65" i="5" s="1"/>
  <c r="P70" i="5"/>
  <c r="S70" i="5" s="1"/>
  <c r="U70" i="5" s="1"/>
  <c r="Q70" i="5"/>
  <c r="D38" i="2"/>
  <c r="R63" i="5"/>
  <c r="H42" i="5"/>
  <c r="W85" i="5" l="1"/>
  <c r="W90" i="5"/>
  <c r="S87" i="5"/>
  <c r="U87" i="5" s="1"/>
  <c r="W87" i="5" s="1"/>
  <c r="T84" i="5"/>
  <c r="V84" i="5" s="1"/>
  <c r="W84" i="5" s="1"/>
  <c r="W67" i="5"/>
  <c r="D28" i="2"/>
  <c r="P53" i="5"/>
  <c r="S53" i="5" s="1"/>
  <c r="U53" i="5" s="1"/>
  <c r="Q53" i="5"/>
  <c r="R68" i="5"/>
  <c r="T68" i="5"/>
  <c r="V68" i="5" s="1"/>
  <c r="W68" i="5" s="1"/>
  <c r="R65" i="5"/>
  <c r="T65" i="5"/>
  <c r="V65" i="5" s="1"/>
  <c r="W65" i="5" s="1"/>
  <c r="R69" i="5"/>
  <c r="T69" i="5"/>
  <c r="V69" i="5" s="1"/>
  <c r="W69" i="5" s="1"/>
  <c r="R62" i="5"/>
  <c r="S62" i="5"/>
  <c r="U62" i="5" s="1"/>
  <c r="W62" i="5" s="1"/>
  <c r="R64" i="5"/>
  <c r="T64" i="5"/>
  <c r="V64" i="5" s="1"/>
  <c r="W64" i="5" s="1"/>
  <c r="R67" i="5"/>
  <c r="R66" i="5"/>
  <c r="T66" i="5"/>
  <c r="V66" i="5" s="1"/>
  <c r="W66" i="5" s="1"/>
  <c r="T70" i="5"/>
  <c r="V70" i="5" s="1"/>
  <c r="W70" i="5" s="1"/>
  <c r="R70" i="5"/>
  <c r="P38" i="5"/>
  <c r="S38" i="5" s="1"/>
  <c r="U38" i="5" s="1"/>
  <c r="D21" i="2"/>
  <c r="Q38" i="5"/>
  <c r="H31" i="5"/>
  <c r="O2" i="5"/>
  <c r="R53" i="5" l="1"/>
  <c r="T53" i="5"/>
  <c r="R38" i="5"/>
  <c r="T38" i="5"/>
  <c r="V38" i="5" s="1"/>
  <c r="W38" i="5" s="1"/>
  <c r="F28" i="2"/>
  <c r="D15" i="2"/>
  <c r="Q26" i="5"/>
  <c r="P26" i="5"/>
  <c r="S26" i="5" s="1"/>
  <c r="D17" i="2"/>
  <c r="H5" i="5"/>
  <c r="H4" i="5"/>
  <c r="V53" i="5" l="1"/>
  <c r="W53" i="5" s="1"/>
  <c r="S12" i="5"/>
  <c r="U12" i="5" s="1"/>
  <c r="T12" i="5"/>
  <c r="V12" i="5" s="1"/>
  <c r="R12" i="5"/>
  <c r="T26" i="5"/>
  <c r="V26" i="5" s="1"/>
  <c r="R26" i="5"/>
  <c r="H6" i="5"/>
  <c r="Q2" i="5" s="1"/>
  <c r="U26" i="5"/>
  <c r="W26" i="5" l="1"/>
  <c r="W12" i="5"/>
  <c r="T2" i="5"/>
  <c r="V2" i="5" s="1"/>
  <c r="D13" i="2"/>
  <c r="P2" i="5"/>
  <c r="R2" i="5" s="1"/>
  <c r="F45" i="2"/>
  <c r="S2" i="5" l="1"/>
  <c r="U2" i="5" s="1"/>
  <c r="U128" i="5" s="1"/>
  <c r="F15" i="2"/>
  <c r="W2" i="5" l="1"/>
  <c r="F30" i="2"/>
  <c r="F31" i="2"/>
  <c r="F32" i="2"/>
  <c r="F33" i="2"/>
  <c r="F34" i="2"/>
  <c r="F35" i="2"/>
  <c r="F36" i="2"/>
  <c r="F37" i="2"/>
  <c r="F38" i="2"/>
  <c r="F73" i="2" l="1"/>
  <c r="F72" i="2"/>
  <c r="F71" i="2"/>
  <c r="F74" i="2" l="1"/>
  <c r="F44" i="2" l="1"/>
  <c r="B7" i="4" l="1"/>
  <c r="B5" i="4"/>
  <c r="B3" i="4"/>
  <c r="F21" i="2"/>
  <c r="F23" i="2" s="1"/>
  <c r="F13" i="2"/>
  <c r="F17" i="2"/>
  <c r="F49" i="2"/>
  <c r="C7" i="4"/>
  <c r="F41" i="2"/>
  <c r="F43" i="2"/>
  <c r="F52" i="2"/>
  <c r="F18" i="2" l="1"/>
  <c r="F51" i="2"/>
  <c r="T97" i="5" s="1"/>
  <c r="F42" i="2"/>
  <c r="C5" i="4" s="1"/>
  <c r="F29" i="2"/>
  <c r="V97" i="5" l="1"/>
  <c r="V128" i="5" s="1"/>
  <c r="W128" i="5" s="1"/>
  <c r="F54" i="2"/>
  <c r="I77" i="2" l="1"/>
  <c r="W97" i="5"/>
  <c r="U130" i="5"/>
  <c r="V130" i="5"/>
  <c r="C3" i="4"/>
  <c r="C9" i="4" s="1"/>
  <c r="I76" i="2" l="1"/>
  <c r="F75" i="2"/>
</calcChain>
</file>

<file path=xl/sharedStrings.xml><?xml version="1.0" encoding="utf-8"?>
<sst xmlns="http://schemas.openxmlformats.org/spreadsheetml/2006/main" count="341" uniqueCount="250">
  <si>
    <t>Module part</t>
  </si>
  <si>
    <t>Price</t>
  </si>
  <si>
    <t>need</t>
  </si>
  <si>
    <t>sum</t>
  </si>
  <si>
    <t>Arm</t>
  </si>
  <si>
    <t>Visual check dependend parts</t>
  </si>
  <si>
    <t>Drive module</t>
  </si>
  <si>
    <t>DM housing</t>
  </si>
  <si>
    <t>DM Lid</t>
  </si>
  <si>
    <t>Z- module</t>
  </si>
  <si>
    <t>cable hood</t>
  </si>
  <si>
    <t>Clamping flange</t>
  </si>
  <si>
    <t>Interface plate</t>
  </si>
  <si>
    <t>Adapter cable</t>
  </si>
  <si>
    <t>additional material</t>
  </si>
  <si>
    <t>belt-reel upgrade</t>
  </si>
  <si>
    <t>Packaging set</t>
  </si>
  <si>
    <t>Grey Box (new)</t>
  </si>
  <si>
    <t>Last digit and red mark change dependend parts</t>
  </si>
  <si>
    <t>Labour &amp; Packaging</t>
  </si>
  <si>
    <t>id-no.</t>
  </si>
  <si>
    <t>delivery charges</t>
  </si>
  <si>
    <t>Age dependend parts</t>
  </si>
  <si>
    <t>Arm parts (after 3,5 years)</t>
  </si>
  <si>
    <t>Drive module (DM) parts (after 3,5 years)</t>
  </si>
  <si>
    <t>Z-stroke module parts (after 5 years)</t>
  </si>
  <si>
    <t>total qualification (Labour)</t>
  </si>
  <si>
    <t>additional hours (Labour)</t>
  </si>
  <si>
    <t>Comment:</t>
  </si>
  <si>
    <t>Name:</t>
  </si>
  <si>
    <t>Version:</t>
  </si>
  <si>
    <t>a</t>
  </si>
  <si>
    <t>b</t>
  </si>
  <si>
    <t>Value Arm</t>
  </si>
  <si>
    <t>Value  DM</t>
  </si>
  <si>
    <t>Value  Z</t>
  </si>
  <si>
    <t>Total :</t>
  </si>
  <si>
    <t>Serial No.</t>
  </si>
  <si>
    <t>c</t>
  </si>
  <si>
    <t>d</t>
  </si>
  <si>
    <t>#</t>
  </si>
  <si>
    <t>Bearings (Main)</t>
  </si>
  <si>
    <t>-</t>
  </si>
  <si>
    <t>e</t>
  </si>
  <si>
    <t>f</t>
  </si>
  <si>
    <t>Service</t>
  </si>
  <si>
    <t>%</t>
  </si>
  <si>
    <t>Zeit</t>
  </si>
  <si>
    <t xml:space="preserve">Unit 12NC received: </t>
  </si>
  <si>
    <t xml:space="preserve">Unit serial number: </t>
  </si>
  <si>
    <t xml:space="preserve">Arm #:  </t>
  </si>
  <si>
    <t>DM #:</t>
  </si>
  <si>
    <t xml:space="preserve">Z-stroke #:   </t>
  </si>
  <si>
    <t>g</t>
  </si>
  <si>
    <t>General part</t>
  </si>
  <si>
    <t>Upgrade part</t>
  </si>
  <si>
    <t>h</t>
  </si>
  <si>
    <t>Grey Box (repair)</t>
  </si>
  <si>
    <t>free for extra costs</t>
  </si>
  <si>
    <t>extra costs</t>
  </si>
  <si>
    <t>i</t>
  </si>
  <si>
    <t>J</t>
  </si>
  <si>
    <t>m</t>
  </si>
  <si>
    <t xml:space="preserve">slip-ring </t>
  </si>
  <si>
    <t>n</t>
  </si>
  <si>
    <t>o</t>
  </si>
  <si>
    <t>p</t>
  </si>
  <si>
    <t>Total Repair costs</t>
  </si>
  <si>
    <t>Re-buy costs</t>
  </si>
  <si>
    <t>TOTAL COSTS IN EURO</t>
  </si>
  <si>
    <t>FSD Robot NT</t>
  </si>
  <si>
    <t>FSD Robot Scara (XT)</t>
  </si>
  <si>
    <t>FSD Robot SP</t>
  </si>
  <si>
    <t>q</t>
  </si>
  <si>
    <t>r</t>
  </si>
  <si>
    <t>s</t>
  </si>
  <si>
    <t xml:space="preserve">Repair matrix Double fold (AVR) robots </t>
  </si>
  <si>
    <t>Date / KW</t>
  </si>
  <si>
    <t>CaBr</t>
  </si>
  <si>
    <t>Decisions &amp; Motivation</t>
  </si>
  <si>
    <t>Decision</t>
  </si>
  <si>
    <t>Motivation</t>
  </si>
  <si>
    <t>By</t>
  </si>
  <si>
    <t>Date</t>
  </si>
  <si>
    <t>Max number of repairs on a robot --&gt; 2 (unless completely different cause &amp; repair)</t>
  </si>
  <si>
    <t>Max. Age of robot motor (Sc / FA) 3.5 years</t>
  </si>
  <si>
    <t>Supplier HD has calculated a lifetime of 4 years</t>
  </si>
  <si>
    <t>SjVe</t>
  </si>
  <si>
    <t>Max repaircost ****% of new price</t>
  </si>
  <si>
    <t>JBFH</t>
  </si>
  <si>
    <t>Preisanpassung 115/h</t>
  </si>
  <si>
    <t>PJ</t>
  </si>
  <si>
    <t>P. Jackson</t>
  </si>
  <si>
    <t>Neue Matrix-Version (Preise ?)</t>
  </si>
  <si>
    <t>Arm - belts incl. Ball-sealings</t>
  </si>
  <si>
    <t>Z-stroke 14 - average price</t>
  </si>
  <si>
    <t>Platinepaket to Flex (.4 - .5)</t>
  </si>
  <si>
    <t>benötigte Zeit</t>
  </si>
  <si>
    <t>VK in Matrix inkl. Zeit</t>
  </si>
  <si>
    <t>Stundensatz</t>
  </si>
  <si>
    <t>Bänder inkl. Seals</t>
  </si>
  <si>
    <t>Zuschlag</t>
  </si>
  <si>
    <t>EINKAUFSPREISE</t>
  </si>
  <si>
    <t>Teil</t>
  </si>
  <si>
    <t>Bezeichnung</t>
  </si>
  <si>
    <t>Menge</t>
  </si>
  <si>
    <t>EK-Preis</t>
  </si>
  <si>
    <t>Gesamt EK</t>
  </si>
  <si>
    <t>Material</t>
  </si>
  <si>
    <t>Stahlband gewalzt</t>
  </si>
  <si>
    <t>E-11530</t>
  </si>
  <si>
    <t>Bal-Seal 100LA-(I)-(24-2)-SP</t>
  </si>
  <si>
    <t>Gesamt</t>
  </si>
  <si>
    <t>E-18076</t>
  </si>
  <si>
    <t>Bal-Seal Dichtung</t>
  </si>
  <si>
    <t xml:space="preserve">DM - Lika Motor upgrade (incl. Sealing)
</t>
  </si>
  <si>
    <t>Material in %</t>
  </si>
  <si>
    <t>Service in %</t>
  </si>
  <si>
    <t>Kontrolle</t>
  </si>
  <si>
    <t>Motor/Spindel upgrade  - SCARA</t>
  </si>
  <si>
    <t>E-10016</t>
  </si>
  <si>
    <t>Gewinderollenschraubtrieb</t>
  </si>
  <si>
    <t>E-10018</t>
  </si>
  <si>
    <t>DC-Micromotor m.</t>
  </si>
  <si>
    <t>E-10052</t>
  </si>
  <si>
    <t>Axial-Schrägkugellager</t>
  </si>
  <si>
    <t>E-10057</t>
  </si>
  <si>
    <t>Führungswelle Durchm.</t>
  </si>
  <si>
    <t>Sensor, induktiv</t>
  </si>
  <si>
    <t>E-10041</t>
  </si>
  <si>
    <t>E-10051</t>
  </si>
  <si>
    <t>Metallbalgkupplung</t>
  </si>
  <si>
    <t>Permanentmagnet-</t>
  </si>
  <si>
    <t>Platinenpaket 4-&gt; 5</t>
  </si>
  <si>
    <t>A-607084</t>
  </si>
  <si>
    <t>Umbausatz Faltarm</t>
  </si>
  <si>
    <t>PREIS Siehe SCARA / SCARA - NT</t>
  </si>
  <si>
    <t>E-10004</t>
  </si>
  <si>
    <t>Nadelschrägkugellager</t>
  </si>
  <si>
    <t>E-10213</t>
  </si>
  <si>
    <t>Nadellager NKI 42/ 20 C2</t>
  </si>
  <si>
    <t>Bearings (Main) arm</t>
  </si>
  <si>
    <t>lower main link</t>
  </si>
  <si>
    <t>second upper link</t>
  </si>
  <si>
    <t>main connector</t>
  </si>
  <si>
    <t>moving connector lid</t>
  </si>
  <si>
    <t>Koppelglied / moving connector lid</t>
  </si>
  <si>
    <t>Getriebeglied zentral / lower main link</t>
  </si>
  <si>
    <t>Mat inkl. 1,4%</t>
  </si>
  <si>
    <t>Zeit in €</t>
  </si>
  <si>
    <t>Alte preise</t>
  </si>
  <si>
    <t>Polygon bush</t>
  </si>
  <si>
    <t>diverse Armteile</t>
  </si>
  <si>
    <t>Getriebeglied / second lower lin</t>
  </si>
  <si>
    <t>Auslegerglied zentral / upper main lin</t>
  </si>
  <si>
    <t>Auslegerglied / second upper link</t>
  </si>
  <si>
    <t>Kurbel / main connector</t>
  </si>
  <si>
    <t>Einpressbuchse Polygon /Polygon bush</t>
  </si>
  <si>
    <t>Endeffektorhalter / Arm-gripper interface</t>
  </si>
  <si>
    <t>A-606934 / A-606938</t>
  </si>
  <si>
    <t>second lower link</t>
  </si>
  <si>
    <t>upper main link</t>
  </si>
  <si>
    <t xml:space="preserve">Arm-gripper interface </t>
  </si>
  <si>
    <t xml:space="preserve">belt-reel upgrade </t>
  </si>
  <si>
    <t>WIE SCARA / SCARA NT</t>
  </si>
  <si>
    <t xml:space="preserve">Clamping flange </t>
  </si>
  <si>
    <t>HTs treatment</t>
  </si>
  <si>
    <t>Kabelhaube = SCARA / NT</t>
  </si>
  <si>
    <t>Hubrohr DM = SCARA / NT</t>
  </si>
  <si>
    <t>Deckel DM = Scara / NT</t>
  </si>
  <si>
    <t>crank flange</t>
  </si>
  <si>
    <t>Kurbelflansch DM = Scara / NT</t>
  </si>
  <si>
    <t>ZM housing</t>
  </si>
  <si>
    <t>Z-Triebgehäuse</t>
  </si>
  <si>
    <t>Interfaceplate</t>
  </si>
  <si>
    <t>A-602574</t>
  </si>
  <si>
    <t>Adapterkabel f. Z-Trieb</t>
  </si>
  <si>
    <t>Koppelgliedverbindung / moving connector assy</t>
  </si>
  <si>
    <t xml:space="preserve">moving connector assy </t>
  </si>
  <si>
    <t>8xE-10297+2x602411+602419+Elox.</t>
  </si>
  <si>
    <t>900354+Polygon 604405+Lagerschale+Lemosa</t>
  </si>
  <si>
    <t>t</t>
  </si>
  <si>
    <t>1,4 Zuschlag /90 € Stunde</t>
  </si>
  <si>
    <t>Kennwort:</t>
  </si>
  <si>
    <t>Weber</t>
  </si>
  <si>
    <t>u</t>
  </si>
  <si>
    <t>DM - Lika Motor upgrade (incl. Sealing)</t>
  </si>
  <si>
    <t>Hohlwellenmotor ged. Form</t>
  </si>
  <si>
    <t>E-10109</t>
  </si>
  <si>
    <t>Kugellager 61802, Niro</t>
  </si>
  <si>
    <t>Lagerplatte</t>
  </si>
  <si>
    <t>Yen Aufschlag</t>
  </si>
  <si>
    <t>Zusatzkosten Lika</t>
  </si>
  <si>
    <t>Ammortisation</t>
  </si>
  <si>
    <t>Sealing</t>
  </si>
  <si>
    <t>E-19572</t>
  </si>
  <si>
    <t>Steckerverbinder</t>
  </si>
  <si>
    <t>Upgrade auf Lika (Motoren +Kabelhaube+Steckerplatte)</t>
  </si>
  <si>
    <t>Lika upgrade from .17075 to .49401</t>
  </si>
  <si>
    <t>Motoren mit zubehör -&gt; siehe H17</t>
  </si>
  <si>
    <t>Kablehaube -&gt; siehe H84</t>
  </si>
  <si>
    <t>400370 (neu!)</t>
  </si>
  <si>
    <t>Hollow shaft</t>
  </si>
  <si>
    <t>Getriebeflansch</t>
  </si>
  <si>
    <t>Hohlwelle lang</t>
  </si>
  <si>
    <t>E-10002</t>
  </si>
  <si>
    <t>Lemosa-Stift FGG.2B.312.ZLA</t>
  </si>
  <si>
    <t>E-10102</t>
  </si>
  <si>
    <t>Lemosa-Buchse EGG.2B.312.ZLL</t>
  </si>
  <si>
    <t>Material+Zuschlag</t>
  </si>
  <si>
    <t>DM Gesamt Neue Nummer</t>
  </si>
  <si>
    <t>Einsatz m. Steckerplatte/connector panel assy</t>
  </si>
  <si>
    <t>Steckerplatte -&gt; siehe I91</t>
  </si>
  <si>
    <t>slip-ring (required for LIKA)</t>
  </si>
  <si>
    <t>Matrix Lika / DM Preise / Anpassung</t>
  </si>
  <si>
    <t>Version 08.01.2021 K.Weber</t>
  </si>
  <si>
    <t>(Motoren, Seals)</t>
  </si>
  <si>
    <t>(Motoren, Seals, Kabelhaube, Steckerplatte)</t>
  </si>
  <si>
    <t>upgrade to: 4022.639.49401</t>
  </si>
  <si>
    <t>Macken ausbessern</t>
  </si>
  <si>
    <t>Hohlwelle reinigen</t>
  </si>
  <si>
    <t>Z: Macken ausbessern</t>
  </si>
  <si>
    <t>Dellencheck</t>
  </si>
  <si>
    <t>Buchse reinigen</t>
  </si>
  <si>
    <t>Free for extra costs</t>
  </si>
  <si>
    <t>Arm: Geom. + Pos. neu einstellen</t>
  </si>
  <si>
    <t>DM: Geom. + Pos. neu einstellen</t>
  </si>
  <si>
    <t>module_part</t>
  </si>
  <si>
    <t>id_no</t>
  </si>
  <si>
    <t>price</t>
  </si>
  <si>
    <t>need_amount</t>
  </si>
  <si>
    <t>price_sum</t>
  </si>
  <si>
    <t>4022.480.17075</t>
    <phoneticPr fontId="6" type="noConversion"/>
  </si>
  <si>
    <t>First delivery: 08.06.2019 ; --</t>
    <phoneticPr fontId="6" type="noConversion"/>
  </si>
  <si>
    <t>Repair: 1 ; --</t>
    <phoneticPr fontId="6" type="noConversion"/>
  </si>
  <si>
    <t>Small guiding shaft, cable down holder, z bottom lid</t>
    <phoneticPr fontId="6" type="noConversion"/>
  </si>
  <si>
    <t>First delivery:</t>
    <phoneticPr fontId="6" type="noConversion"/>
  </si>
  <si>
    <t>E-10004</t>
    <phoneticPr fontId="6" type="noConversion"/>
  </si>
  <si>
    <t>V-700144</t>
    <phoneticPr fontId="6" type="noConversion"/>
  </si>
  <si>
    <t>P2037</t>
    <phoneticPr fontId="6" type="noConversion"/>
  </si>
  <si>
    <t>V-700135</t>
    <phoneticPr fontId="6" type="noConversion"/>
  </si>
  <si>
    <t>P2036</t>
    <phoneticPr fontId="6" type="noConversion"/>
  </si>
  <si>
    <t>V4004</t>
    <phoneticPr fontId="6" type="noConversion"/>
  </si>
  <si>
    <t>P2033</t>
    <phoneticPr fontId="6" type="noConversion"/>
  </si>
  <si>
    <t>V-700133</t>
    <phoneticPr fontId="6" type="noConversion"/>
  </si>
  <si>
    <t>P2032</t>
    <phoneticPr fontId="6" type="noConversion"/>
  </si>
  <si>
    <t>Arm B</t>
    <phoneticPr fontId="6" type="noConversion"/>
  </si>
  <si>
    <t>DM LIKA UPGRADE</t>
    <phoneticPr fontId="6" type="noConversion"/>
  </si>
  <si>
    <t>E-19623</t>
    <phoneticPr fontId="6" type="noConversion"/>
  </si>
  <si>
    <t>V-700144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</si>
</sst>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&quot;€&quot;\ * #,##0.00_-;_-&quot;€&quot;\ * #,##0.00\-;_-&quot;€&quot;\ * &quot;-&quot;??_-;_-@_-"/>
    <numFmt numFmtId="167" formatCode="0.0"/>
    <numFmt numFmtId="168" formatCode="_-* #,##0.00\ [$€-407]_-;\-* #,##0.00\ [$€-407]_-;_-* &quot;-&quot;??\ [$€-407]_-;_-@_-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9"/>
      <name val="細明體"/>
      <family val="3"/>
      <charset val="136"/>
    </font>
    <font>
      <b/>
      <sz val="10"/>
      <color rgb="FFFF0000"/>
      <name val="Arial"/>
      <family val="2"/>
    </font>
    <font>
      <b/>
      <i/>
      <sz val="10"/>
      <color rgb="FFFF0000"/>
      <name val="細明體"/>
      <family val="3"/>
      <charset val="136"/>
    </font>
    <font>
      <b/>
      <i/>
      <sz val="10"/>
      <color rgb="FFFF0000"/>
      <name val="細明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</borders>
  <cellStyleXfs count="57">
    <xf numFmtId="0" fontId="0" fillId="0" borderId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5" fillId="0" borderId="0"/>
    <xf numFmtId="0" fontId="4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5" fillId="0" borderId="0"/>
    <xf numFmtId="0" fontId="2" fillId="0" borderId="0"/>
    <xf numFmtId="166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5" fillId="0" borderId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0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vertical="top"/>
    </xf>
    <xf numFmtId="166" fontId="0" fillId="0" borderId="0" xfId="4" applyFont="1"/>
    <xf numFmtId="166" fontId="7" fillId="0" borderId="0" xfId="4" applyFont="1" applyAlignment="1">
      <alignment vertical="top"/>
    </xf>
    <xf numFmtId="166" fontId="7" fillId="0" borderId="0" xfId="4" applyFont="1"/>
    <xf numFmtId="0" fontId="8" fillId="0" borderId="0" xfId="0" applyFont="1"/>
    <xf numFmtId="2" fontId="7" fillId="0" borderId="0" xfId="0" applyNumberFormat="1" applyFont="1"/>
    <xf numFmtId="2" fontId="0" fillId="0" borderId="0" xfId="0" applyNumberFormat="1"/>
    <xf numFmtId="9" fontId="7" fillId="0" borderId="0" xfId="1" applyFont="1"/>
    <xf numFmtId="164" fontId="7" fillId="0" borderId="0" xfId="0" applyNumberFormat="1" applyFont="1"/>
    <xf numFmtId="9" fontId="0" fillId="0" borderId="0" xfId="1" applyFont="1"/>
    <xf numFmtId="0" fontId="0" fillId="6" borderId="0" xfId="0" applyFill="1"/>
    <xf numFmtId="2" fontId="0" fillId="6" borderId="0" xfId="0" applyNumberFormat="1" applyFill="1"/>
    <xf numFmtId="0" fontId="0" fillId="0" borderId="0" xfId="0" quotePrefix="1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8" fillId="0" borderId="0" xfId="2"/>
    <xf numFmtId="0" fontId="8" fillId="0" borderId="0" xfId="2" applyAlignment="1">
      <alignment horizontal="center"/>
    </xf>
    <xf numFmtId="2" fontId="8" fillId="0" borderId="0" xfId="2" applyNumberFormat="1" applyAlignment="1">
      <alignment horizontal="center"/>
    </xf>
    <xf numFmtId="166" fontId="0" fillId="0" borderId="0" xfId="5" applyFont="1"/>
    <xf numFmtId="0" fontId="8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10" fillId="0" borderId="5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2" fontId="0" fillId="0" borderId="6" xfId="0" applyNumberForma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12" xfId="0" applyFont="1" applyBorder="1" applyAlignment="1" applyProtection="1">
      <alignment horizontal="center" vertical="top"/>
      <protection locked="0"/>
    </xf>
    <xf numFmtId="2" fontId="7" fillId="0" borderId="9" xfId="0" applyNumberFormat="1" applyFont="1" applyBorder="1" applyAlignment="1" applyProtection="1">
      <alignment horizontal="center"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4" borderId="11" xfId="0" applyFont="1" applyFill="1" applyBorder="1" applyProtection="1">
      <protection locked="0"/>
    </xf>
    <xf numFmtId="2" fontId="7" fillId="4" borderId="1" xfId="0" applyNumberFormat="1" applyFont="1" applyFill="1" applyBorder="1" applyProtection="1">
      <protection locked="0"/>
    </xf>
    <xf numFmtId="0" fontId="7" fillId="4" borderId="26" xfId="0" applyFont="1" applyFill="1" applyBorder="1" applyAlignment="1" applyProtection="1">
      <alignment horizontal="center"/>
      <protection locked="0"/>
    </xf>
    <xf numFmtId="2" fontId="7" fillId="4" borderId="10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2" fontId="0" fillId="5" borderId="1" xfId="0" applyNumberFormat="1" applyFill="1" applyBorder="1" applyProtection="1">
      <protection locked="0"/>
    </xf>
    <xf numFmtId="0" fontId="0" fillId="5" borderId="27" xfId="0" applyFill="1" applyBorder="1" applyAlignment="1" applyProtection="1">
      <alignment horizontal="center"/>
      <protection locked="0"/>
    </xf>
    <xf numFmtId="2" fontId="0" fillId="5" borderId="10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Protection="1">
      <protection locked="0"/>
    </xf>
    <xf numFmtId="0" fontId="0" fillId="4" borderId="27" xfId="0" applyFill="1" applyBorder="1" applyAlignment="1" applyProtection="1">
      <alignment horizontal="center"/>
      <protection locked="0"/>
    </xf>
    <xf numFmtId="2" fontId="0" fillId="4" borderId="10" xfId="0" applyNumberFormat="1" applyFill="1" applyBorder="1" applyAlignment="1" applyProtection="1">
      <alignment horizontal="center"/>
      <protection locked="0"/>
    </xf>
    <xf numFmtId="0" fontId="0" fillId="5" borderId="1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2" fontId="0" fillId="2" borderId="12" xfId="0" applyNumberFormat="1" applyFill="1" applyBorder="1" applyProtection="1">
      <protection locked="0"/>
    </xf>
    <xf numFmtId="0" fontId="0" fillId="2" borderId="28" xfId="0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0" borderId="4" xfId="0" applyNumberFormat="1" applyBorder="1" applyProtection="1">
      <protection locked="0"/>
    </xf>
    <xf numFmtId="0" fontId="7" fillId="0" borderId="7" xfId="0" applyFont="1" applyBorder="1" applyProtection="1">
      <protection locked="0"/>
    </xf>
    <xf numFmtId="2" fontId="7" fillId="0" borderId="8" xfId="0" applyNumberFormat="1" applyFont="1" applyBorder="1" applyProtection="1">
      <protection locked="0"/>
    </xf>
    <xf numFmtId="0" fontId="7" fillId="0" borderId="12" xfId="0" applyFont="1" applyBorder="1" applyAlignment="1" applyProtection="1">
      <alignment horizontal="center"/>
      <protection locked="0"/>
    </xf>
    <xf numFmtId="2" fontId="7" fillId="0" borderId="9" xfId="0" applyNumberFormat="1" applyFont="1" applyBorder="1" applyAlignment="1" applyProtection="1">
      <alignment horizontal="center"/>
      <protection locked="0"/>
    </xf>
    <xf numFmtId="0" fontId="8" fillId="0" borderId="11" xfId="0" applyFont="1" applyBorder="1" applyProtection="1">
      <protection locked="0"/>
    </xf>
    <xf numFmtId="2" fontId="0" fillId="0" borderId="1" xfId="0" applyNumberFormat="1" applyBorder="1" applyProtection="1">
      <protection locked="0"/>
    </xf>
    <xf numFmtId="2" fontId="7" fillId="0" borderId="0" xfId="0" applyNumberFormat="1" applyFont="1" applyProtection="1">
      <protection locked="0"/>
    </xf>
    <xf numFmtId="0" fontId="0" fillId="0" borderId="27" xfId="0" applyBorder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2" fontId="0" fillId="2" borderId="9" xfId="0" applyNumberFormat="1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166" fontId="8" fillId="0" borderId="0" xfId="5" applyFont="1" applyProtection="1">
      <protection locked="0"/>
    </xf>
    <xf numFmtId="166" fontId="0" fillId="0" borderId="0" xfId="5" applyFont="1" applyProtection="1">
      <protection locked="0"/>
    </xf>
    <xf numFmtId="2" fontId="0" fillId="0" borderId="0" xfId="0" applyNumberForma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6" fontId="0" fillId="0" borderId="0" xfId="4" applyFont="1" applyProtection="1">
      <protection locked="0"/>
    </xf>
    <xf numFmtId="166" fontId="7" fillId="0" borderId="0" xfId="4" applyFont="1" applyProtection="1">
      <protection locked="0"/>
    </xf>
    <xf numFmtId="0" fontId="8" fillId="0" borderId="27" xfId="0" applyFont="1" applyBorder="1" applyAlignment="1" applyProtection="1">
      <alignment horizontal="center"/>
      <protection locked="0"/>
    </xf>
    <xf numFmtId="0" fontId="5" fillId="0" borderId="11" xfId="0" applyFont="1" applyBorder="1" applyProtection="1">
      <protection locked="0"/>
    </xf>
    <xf numFmtId="0" fontId="5" fillId="0" borderId="0" xfId="0" applyFont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14" fontId="0" fillId="0" borderId="0" xfId="0" applyNumberFormat="1"/>
    <xf numFmtId="166" fontId="0" fillId="0" borderId="0" xfId="10" applyFont="1" applyProtection="1">
      <protection locked="0"/>
    </xf>
    <xf numFmtId="166" fontId="0" fillId="0" borderId="0" xfId="10" applyFont="1"/>
    <xf numFmtId="0" fontId="5" fillId="0" borderId="0" xfId="8"/>
    <xf numFmtId="0" fontId="5" fillId="0" borderId="0" xfId="8" applyAlignment="1">
      <alignment horizontal="center"/>
    </xf>
    <xf numFmtId="0" fontId="5" fillId="0" borderId="0" xfId="8" applyAlignment="1" applyProtection="1">
      <alignment horizontal="center"/>
      <protection locked="0"/>
    </xf>
    <xf numFmtId="0" fontId="5" fillId="0" borderId="0" xfId="8" applyProtection="1">
      <protection locked="0"/>
    </xf>
    <xf numFmtId="2" fontId="5" fillId="2" borderId="10" xfId="8" applyNumberFormat="1" applyFill="1" applyBorder="1" applyAlignment="1" applyProtection="1">
      <alignment horizontal="center"/>
      <protection locked="0"/>
    </xf>
    <xf numFmtId="0" fontId="5" fillId="0" borderId="26" xfId="8" applyBorder="1" applyAlignment="1" applyProtection="1">
      <alignment horizontal="center"/>
      <protection locked="0"/>
    </xf>
    <xf numFmtId="0" fontId="5" fillId="0" borderId="27" xfId="8" applyBorder="1" applyAlignment="1" applyProtection="1">
      <alignment horizontal="center"/>
      <protection locked="0"/>
    </xf>
    <xf numFmtId="0" fontId="5" fillId="0" borderId="1" xfId="8" applyBorder="1" applyProtection="1">
      <protection locked="0"/>
    </xf>
    <xf numFmtId="0" fontId="5" fillId="2" borderId="13" xfId="8" applyFill="1" applyBorder="1" applyProtection="1">
      <protection locked="0"/>
    </xf>
    <xf numFmtId="0" fontId="5" fillId="2" borderId="14" xfId="8" applyFill="1" applyBorder="1" applyProtection="1">
      <protection locked="0"/>
    </xf>
    <xf numFmtId="0" fontId="5" fillId="2" borderId="29" xfId="8" applyFill="1" applyBorder="1" applyAlignment="1" applyProtection="1">
      <alignment horizontal="center"/>
      <protection locked="0"/>
    </xf>
    <xf numFmtId="0" fontId="9" fillId="0" borderId="15" xfId="8" applyFont="1" applyBorder="1" applyProtection="1">
      <protection locked="0"/>
    </xf>
    <xf numFmtId="166" fontId="5" fillId="0" borderId="0" xfId="10" applyFont="1"/>
    <xf numFmtId="166" fontId="5" fillId="0" borderId="0" xfId="10" applyFont="1" applyProtection="1">
      <protection locked="0"/>
    </xf>
    <xf numFmtId="0" fontId="5" fillId="0" borderId="12" xfId="8" applyBorder="1" applyAlignment="1" applyProtection="1">
      <alignment horizontal="center"/>
      <protection locked="0"/>
    </xf>
    <xf numFmtId="2" fontId="5" fillId="0" borderId="0" xfId="8" applyNumberFormat="1" applyProtection="1">
      <protection locked="0"/>
    </xf>
    <xf numFmtId="2" fontId="5" fillId="0" borderId="4" xfId="8" applyNumberFormat="1" applyBorder="1" applyProtection="1">
      <protection locked="0"/>
    </xf>
    <xf numFmtId="0" fontId="9" fillId="0" borderId="16" xfId="8" applyFont="1" applyBorder="1" applyProtection="1">
      <protection locked="0"/>
    </xf>
    <xf numFmtId="2" fontId="7" fillId="8" borderId="17" xfId="8" applyNumberFormat="1" applyFont="1" applyFill="1" applyBorder="1" applyAlignment="1" applyProtection="1">
      <alignment horizontal="center"/>
      <protection locked="0"/>
    </xf>
    <xf numFmtId="0" fontId="5" fillId="0" borderId="12" xfId="8" applyBorder="1" applyProtection="1">
      <protection locked="0"/>
    </xf>
    <xf numFmtId="0" fontId="10" fillId="0" borderId="7" xfId="8" applyFont="1" applyBorder="1" applyProtection="1">
      <protection locked="0"/>
    </xf>
    <xf numFmtId="0" fontId="7" fillId="0" borderId="12" xfId="8" applyFont="1" applyBorder="1" applyProtection="1">
      <protection locked="0"/>
    </xf>
    <xf numFmtId="2" fontId="5" fillId="0" borderId="28" xfId="8" applyNumberFormat="1" applyBorder="1" applyAlignment="1" applyProtection="1">
      <alignment horizontal="center"/>
      <protection locked="0"/>
    </xf>
    <xf numFmtId="0" fontId="5" fillId="0" borderId="30" xfId="8" applyBorder="1" applyProtection="1">
      <protection locked="0"/>
    </xf>
    <xf numFmtId="0" fontId="5" fillId="0" borderId="31" xfId="8" applyBorder="1" applyProtection="1">
      <protection locked="0"/>
    </xf>
    <xf numFmtId="0" fontId="5" fillId="5" borderId="31" xfId="0" applyFont="1" applyFill="1" applyBorder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7" borderId="11" xfId="0" applyFont="1" applyFill="1" applyBorder="1" applyProtection="1">
      <protection locked="0"/>
    </xf>
    <xf numFmtId="0" fontId="9" fillId="0" borderId="0" xfId="8" applyFont="1" applyProtection="1">
      <protection locked="0"/>
    </xf>
    <xf numFmtId="2" fontId="5" fillId="0" borderId="0" xfId="8" applyNumberFormat="1" applyAlignment="1" applyProtection="1">
      <alignment horizontal="center"/>
      <protection locked="0"/>
    </xf>
    <xf numFmtId="0" fontId="9" fillId="0" borderId="4" xfId="0" applyFont="1" applyBorder="1" applyProtection="1"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0" fillId="0" borderId="34" xfId="0" applyBorder="1" applyAlignment="1">
      <alignment horizontal="center" vertical="top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0" fillId="0" borderId="34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6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7" fillId="0" borderId="38" xfId="0" applyFont="1" applyBorder="1" applyAlignment="1">
      <alignment horizontal="center" vertical="top"/>
    </xf>
    <xf numFmtId="0" fontId="0" fillId="0" borderId="39" xfId="0" applyBorder="1" applyAlignment="1">
      <alignment vertical="top"/>
    </xf>
    <xf numFmtId="0" fontId="0" fillId="0" borderId="40" xfId="0" applyBorder="1" applyAlignment="1">
      <alignment vertical="top"/>
    </xf>
    <xf numFmtId="14" fontId="0" fillId="0" borderId="36" xfId="0" applyNumberFormat="1" applyBorder="1" applyAlignment="1">
      <alignment horizontal="center" vertical="top"/>
    </xf>
    <xf numFmtId="168" fontId="0" fillId="0" borderId="1" xfId="0" applyNumberForma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2" fontId="5" fillId="5" borderId="10" xfId="8" applyNumberFormat="1" applyFill="1" applyBorder="1" applyAlignment="1" applyProtection="1">
      <alignment horizontal="center"/>
      <protection locked="0"/>
    </xf>
    <xf numFmtId="0" fontId="5" fillId="0" borderId="11" xfId="8" applyBorder="1" applyProtection="1">
      <protection locked="0"/>
    </xf>
    <xf numFmtId="2" fontId="5" fillId="0" borderId="1" xfId="8" applyNumberFormat="1" applyBorder="1" applyProtection="1">
      <protection locked="0"/>
    </xf>
    <xf numFmtId="0" fontId="5" fillId="0" borderId="1" xfId="8" applyBorder="1" applyAlignment="1" applyProtection="1">
      <alignment horizontal="center"/>
      <protection locked="0"/>
    </xf>
    <xf numFmtId="0" fontId="5" fillId="0" borderId="19" xfId="8" applyBorder="1" applyAlignment="1" applyProtection="1">
      <alignment horizontal="center"/>
      <protection locked="0"/>
    </xf>
    <xf numFmtId="0" fontId="5" fillId="0" borderId="0" xfId="0" applyFont="1"/>
    <xf numFmtId="0" fontId="2" fillId="0" borderId="0" xfId="24"/>
    <xf numFmtId="0" fontId="2" fillId="0" borderId="0" xfId="24" applyAlignment="1">
      <alignment horizontal="center"/>
    </xf>
    <xf numFmtId="0" fontId="2" fillId="0" borderId="0" xfId="24" applyAlignment="1">
      <alignment horizontal="left"/>
    </xf>
    <xf numFmtId="0" fontId="2" fillId="11" borderId="0" xfId="24" applyFill="1"/>
    <xf numFmtId="0" fontId="2" fillId="12" borderId="0" xfId="24" applyFill="1"/>
    <xf numFmtId="0" fontId="2" fillId="0" borderId="0" xfId="43"/>
    <xf numFmtId="2" fontId="2" fillId="0" borderId="0" xfId="43" applyNumberFormat="1"/>
    <xf numFmtId="0" fontId="17" fillId="9" borderId="0" xfId="43" applyFont="1" applyFill="1"/>
    <xf numFmtId="0" fontId="17" fillId="10" borderId="0" xfId="43" applyFont="1" applyFill="1"/>
    <xf numFmtId="0" fontId="17" fillId="0" borderId="0" xfId="24" applyFont="1"/>
    <xf numFmtId="168" fontId="2" fillId="12" borderId="0" xfId="24" applyNumberFormat="1" applyFill="1"/>
    <xf numFmtId="0" fontId="0" fillId="9" borderId="0" xfId="0" applyFill="1"/>
    <xf numFmtId="168" fontId="0" fillId="10" borderId="0" xfId="0" applyNumberFormat="1" applyFill="1"/>
    <xf numFmtId="168" fontId="0" fillId="0" borderId="0" xfId="0" applyNumberFormat="1"/>
    <xf numFmtId="0" fontId="0" fillId="10" borderId="0" xfId="0" applyFill="1"/>
    <xf numFmtId="0" fontId="2" fillId="0" borderId="19" xfId="24" applyBorder="1"/>
    <xf numFmtId="168" fontId="2" fillId="0" borderId="0" xfId="24" applyNumberFormat="1"/>
    <xf numFmtId="0" fontId="2" fillId="0" borderId="19" xfId="24" applyBorder="1" applyAlignment="1">
      <alignment horizontal="left"/>
    </xf>
    <xf numFmtId="0" fontId="2" fillId="0" borderId="20" xfId="24" applyBorder="1" applyAlignment="1">
      <alignment horizontal="left"/>
    </xf>
    <xf numFmtId="0" fontId="2" fillId="0" borderId="24" xfId="24" applyBorder="1"/>
    <xf numFmtId="0" fontId="2" fillId="0" borderId="24" xfId="24" applyBorder="1" applyAlignment="1">
      <alignment horizontal="center"/>
    </xf>
    <xf numFmtId="168" fontId="2" fillId="0" borderId="24" xfId="24" applyNumberFormat="1" applyBorder="1"/>
    <xf numFmtId="168" fontId="2" fillId="12" borderId="0" xfId="24" applyNumberFormat="1" applyFill="1" applyAlignment="1">
      <alignment horizontal="center"/>
    </xf>
    <xf numFmtId="0" fontId="0" fillId="12" borderId="0" xfId="0" applyFill="1"/>
    <xf numFmtId="0" fontId="17" fillId="0" borderId="0" xfId="43" applyFont="1"/>
    <xf numFmtId="0" fontId="2" fillId="0" borderId="0" xfId="43" applyAlignment="1">
      <alignment horizontal="left"/>
    </xf>
    <xf numFmtId="168" fontId="2" fillId="0" borderId="0" xfId="43" applyNumberFormat="1"/>
    <xf numFmtId="0" fontId="2" fillId="0" borderId="19" xfId="43" applyBorder="1"/>
    <xf numFmtId="0" fontId="2" fillId="0" borderId="0" xfId="43" applyAlignment="1">
      <alignment horizontal="center"/>
    </xf>
    <xf numFmtId="0" fontId="2" fillId="0" borderId="19" xfId="43" applyBorder="1" applyAlignment="1">
      <alignment horizontal="left"/>
    </xf>
    <xf numFmtId="168" fontId="2" fillId="12" borderId="0" xfId="43" applyNumberFormat="1" applyFill="1"/>
    <xf numFmtId="0" fontId="17" fillId="0" borderId="0" xfId="38" applyFont="1"/>
    <xf numFmtId="0" fontId="2" fillId="0" borderId="0" xfId="38"/>
    <xf numFmtId="0" fontId="2" fillId="0" borderId="0" xfId="38" applyAlignment="1">
      <alignment horizontal="center"/>
    </xf>
    <xf numFmtId="168" fontId="2" fillId="12" borderId="0" xfId="38" applyNumberFormat="1" applyFill="1"/>
    <xf numFmtId="0" fontId="2" fillId="0" borderId="0" xfId="38" applyAlignment="1">
      <alignment horizontal="left"/>
    </xf>
    <xf numFmtId="0" fontId="2" fillId="0" borderId="19" xfId="38" applyBorder="1"/>
    <xf numFmtId="0" fontId="18" fillId="0" borderId="0" xfId="38" applyFont="1" applyAlignment="1">
      <alignment horizontal="left"/>
    </xf>
    <xf numFmtId="0" fontId="18" fillId="0" borderId="0" xfId="38" applyFont="1"/>
    <xf numFmtId="164" fontId="2" fillId="0" borderId="0" xfId="39" applyFont="1" applyFill="1" applyBorder="1" applyProtection="1"/>
    <xf numFmtId="168" fontId="2" fillId="0" borderId="0" xfId="38" applyNumberFormat="1"/>
    <xf numFmtId="164" fontId="2" fillId="0" borderId="0" xfId="39" applyFont="1" applyBorder="1" applyProtection="1"/>
    <xf numFmtId="0" fontId="18" fillId="0" borderId="24" xfId="38" applyFont="1" applyBorder="1"/>
    <xf numFmtId="0" fontId="2" fillId="0" borderId="24" xfId="38" applyBorder="1" applyAlignment="1">
      <alignment horizontal="center"/>
    </xf>
    <xf numFmtId="164" fontId="2" fillId="0" borderId="24" xfId="39" applyFont="1" applyBorder="1" applyProtection="1"/>
    <xf numFmtId="168" fontId="2" fillId="0" borderId="24" xfId="38" applyNumberFormat="1" applyBorder="1"/>
    <xf numFmtId="0" fontId="0" fillId="0" borderId="24" xfId="0" applyBorder="1"/>
    <xf numFmtId="0" fontId="2" fillId="0" borderId="20" xfId="38" applyBorder="1" applyAlignment="1">
      <alignment horizontal="left"/>
    </xf>
    <xf numFmtId="0" fontId="2" fillId="0" borderId="24" xfId="38" applyBorder="1"/>
    <xf numFmtId="168" fontId="0" fillId="12" borderId="0" xfId="0" applyNumberFormat="1" applyFill="1"/>
    <xf numFmtId="0" fontId="0" fillId="0" borderId="0" xfId="0" applyAlignment="1">
      <alignment horizontal="right"/>
    </xf>
    <xf numFmtId="168" fontId="2" fillId="0" borderId="23" xfId="43" applyNumberFormat="1" applyBorder="1"/>
    <xf numFmtId="0" fontId="2" fillId="0" borderId="20" xfId="43" applyBorder="1"/>
    <xf numFmtId="0" fontId="2" fillId="0" borderId="24" xfId="43" applyBorder="1"/>
    <xf numFmtId="0" fontId="2" fillId="0" borderId="24" xfId="43" applyBorder="1" applyAlignment="1">
      <alignment horizontal="center"/>
    </xf>
    <xf numFmtId="168" fontId="2" fillId="0" borderId="25" xfId="43" applyNumberFormat="1" applyBorder="1"/>
    <xf numFmtId="0" fontId="18" fillId="0" borderId="0" xfId="43" applyFont="1" applyAlignment="1">
      <alignment horizontal="left"/>
    </xf>
    <xf numFmtId="168" fontId="18" fillId="0" borderId="0" xfId="43" applyNumberFormat="1" applyFont="1"/>
    <xf numFmtId="0" fontId="5" fillId="0" borderId="11" xfId="8" applyBorder="1"/>
    <xf numFmtId="0" fontId="2" fillId="0" borderId="20" xfId="43" applyBorder="1" applyAlignment="1">
      <alignment horizontal="left"/>
    </xf>
    <xf numFmtId="2" fontId="0" fillId="9" borderId="0" xfId="0" applyNumberFormat="1" applyFill="1"/>
    <xf numFmtId="0" fontId="1" fillId="0" borderId="0" xfId="24" applyFont="1"/>
    <xf numFmtId="166" fontId="0" fillId="6" borderId="0" xfId="10" applyFont="1" applyFill="1" applyBorder="1" applyProtection="1">
      <protection locked="0"/>
    </xf>
    <xf numFmtId="0" fontId="5" fillId="6" borderId="0" xfId="8" applyFill="1"/>
    <xf numFmtId="2" fontId="0" fillId="6" borderId="44" xfId="0" applyNumberFormat="1" applyFill="1" applyBorder="1"/>
    <xf numFmtId="167" fontId="5" fillId="6" borderId="45" xfId="8" applyNumberFormat="1" applyFill="1" applyBorder="1" applyAlignment="1">
      <alignment horizontal="center"/>
    </xf>
    <xf numFmtId="0" fontId="2" fillId="0" borderId="18" xfId="43" applyBorder="1"/>
    <xf numFmtId="0" fontId="2" fillId="0" borderId="21" xfId="43" applyBorder="1"/>
    <xf numFmtId="0" fontId="2" fillId="0" borderId="21" xfId="43" applyBorder="1" applyAlignment="1">
      <alignment horizontal="center"/>
    </xf>
    <xf numFmtId="0" fontId="2" fillId="0" borderId="22" xfId="43" applyBorder="1"/>
    <xf numFmtId="164" fontId="0" fillId="0" borderId="0" xfId="44" applyFont="1" applyBorder="1"/>
    <xf numFmtId="164" fontId="0" fillId="0" borderId="0" xfId="44" applyFont="1" applyBorder="1" applyAlignment="1">
      <alignment horizontal="center"/>
    </xf>
    <xf numFmtId="0" fontId="19" fillId="0" borderId="0" xfId="43" applyFont="1"/>
    <xf numFmtId="0" fontId="19" fillId="0" borderId="0" xfId="43" applyFont="1" applyAlignment="1">
      <alignment horizontal="center"/>
    </xf>
    <xf numFmtId="168" fontId="19" fillId="0" borderId="0" xfId="43" applyNumberFormat="1" applyFont="1"/>
    <xf numFmtId="164" fontId="0" fillId="0" borderId="24" xfId="44" applyFont="1" applyBorder="1"/>
    <xf numFmtId="0" fontId="5" fillId="13" borderId="11" xfId="0" applyFont="1" applyFill="1" applyBorder="1" applyProtection="1"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2" fillId="10" borderId="0" xfId="43" applyFill="1"/>
    <xf numFmtId="0" fontId="2" fillId="10" borderId="0" xfId="43" applyFill="1" applyAlignment="1">
      <alignment horizontal="center"/>
    </xf>
    <xf numFmtId="0" fontId="2" fillId="10" borderId="0" xfId="43" applyFill="1" applyAlignment="1">
      <alignment horizontal="left"/>
    </xf>
    <xf numFmtId="164" fontId="0" fillId="10" borderId="0" xfId="44" applyFont="1" applyFill="1"/>
    <xf numFmtId="168" fontId="2" fillId="10" borderId="0" xfId="43" applyNumberFormat="1" applyFill="1"/>
    <xf numFmtId="0" fontId="2" fillId="10" borderId="19" xfId="43" applyFill="1" applyBorder="1" applyAlignment="1">
      <alignment horizontal="left"/>
    </xf>
    <xf numFmtId="168" fontId="2" fillId="10" borderId="23" xfId="43" applyNumberFormat="1" applyFill="1" applyBorder="1"/>
    <xf numFmtId="0" fontId="18" fillId="10" borderId="0" xfId="43" applyFont="1" applyFill="1" applyAlignment="1">
      <alignment horizontal="left"/>
    </xf>
    <xf numFmtId="168" fontId="18" fillId="10" borderId="0" xfId="43" applyNumberFormat="1" applyFont="1" applyFill="1"/>
    <xf numFmtId="0" fontId="2" fillId="10" borderId="19" xfId="43" applyFill="1" applyBorder="1"/>
    <xf numFmtId="0" fontId="2" fillId="10" borderId="20" xfId="43" applyFill="1" applyBorder="1"/>
    <xf numFmtId="0" fontId="2" fillId="10" borderId="24" xfId="43" applyFill="1" applyBorder="1"/>
    <xf numFmtId="0" fontId="2" fillId="10" borderId="24" xfId="43" applyFill="1" applyBorder="1" applyAlignment="1">
      <alignment horizontal="center"/>
    </xf>
    <xf numFmtId="168" fontId="2" fillId="10" borderId="25" xfId="43" applyNumberFormat="1" applyFill="1" applyBorder="1"/>
    <xf numFmtId="0" fontId="20" fillId="0" borderId="0" xfId="0" applyFont="1"/>
    <xf numFmtId="2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20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167" fontId="5" fillId="6" borderId="0" xfId="8" applyNumberFormat="1" applyFill="1" applyAlignment="1">
      <alignment horizontal="center"/>
    </xf>
    <xf numFmtId="0" fontId="5" fillId="0" borderId="0" xfId="0" quotePrefix="1" applyFont="1" applyAlignment="1" applyProtection="1">
      <alignment horizontal="left"/>
      <protection locked="0"/>
    </xf>
    <xf numFmtId="0" fontId="8" fillId="0" borderId="0" xfId="0" quotePrefix="1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9" fillId="0" borderId="46" xfId="8" applyFont="1" applyBorder="1" applyProtection="1">
      <protection locked="0"/>
    </xf>
    <xf numFmtId="0" fontId="5" fillId="0" borderId="47" xfId="8" applyBorder="1" applyProtection="1">
      <protection locked="0"/>
    </xf>
    <xf numFmtId="0" fontId="5" fillId="0" borderId="47" xfId="8" applyBorder="1" applyAlignment="1" applyProtection="1">
      <alignment horizontal="center"/>
      <protection locked="0"/>
    </xf>
    <xf numFmtId="2" fontId="5" fillId="3" borderId="48" xfId="8" applyNumberFormat="1" applyFill="1" applyBorder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/>
      <protection locked="0"/>
    </xf>
    <xf numFmtId="49" fontId="5" fillId="0" borderId="2" xfId="8" quotePrefix="1" applyNumberFormat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left"/>
      <protection locked="0"/>
    </xf>
    <xf numFmtId="0" fontId="7" fillId="0" borderId="8" xfId="0" applyFont="1" applyBorder="1" applyAlignment="1" applyProtection="1">
      <alignment horizontal="left" vertical="top"/>
      <protection locked="0"/>
    </xf>
    <xf numFmtId="0" fontId="7" fillId="4" borderId="1" xfId="0" applyFont="1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0" fillId="2" borderId="12" xfId="0" applyFill="1" applyBorder="1" applyAlignment="1" applyProtection="1">
      <alignment horizontal="left"/>
      <protection locked="0"/>
    </xf>
    <xf numFmtId="0" fontId="7" fillId="0" borderId="8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8" applyBorder="1" applyAlignment="1" applyProtection="1">
      <alignment horizontal="left"/>
      <protection locked="0"/>
    </xf>
    <xf numFmtId="0" fontId="5" fillId="2" borderId="14" xfId="8" applyFill="1" applyBorder="1" applyAlignment="1" applyProtection="1">
      <alignment horizontal="left"/>
      <protection locked="0"/>
    </xf>
    <xf numFmtId="0" fontId="5" fillId="0" borderId="47" xfId="8" applyBorder="1" applyAlignment="1" applyProtection="1">
      <alignment horizontal="left"/>
      <protection locked="0"/>
    </xf>
    <xf numFmtId="0" fontId="5" fillId="5" borderId="1" xfId="0" applyFont="1" applyFill="1" applyBorder="1" applyAlignment="1" applyProtection="1">
      <alignment horizontal="left"/>
      <protection locked="0"/>
    </xf>
    <xf numFmtId="0" fontId="24" fillId="0" borderId="1" xfId="0" applyFont="1" applyBorder="1" applyAlignment="1" applyProtection="1">
      <alignment horizontal="left"/>
      <protection locked="0"/>
    </xf>
    <xf numFmtId="0" fontId="26" fillId="0" borderId="1" xfId="0" applyFont="1" applyBorder="1" applyAlignment="1" applyProtection="1">
      <alignment horizontal="left"/>
      <protection locked="0"/>
    </xf>
    <xf numFmtId="0" fontId="25" fillId="0" borderId="1" xfId="0" applyFont="1" applyBorder="1" applyAlignment="1" applyProtection="1">
      <alignment horizontal="left"/>
      <protection locked="0"/>
    </xf>
    <xf numFmtId="1" fontId="24" fillId="0" borderId="1" xfId="0" applyNumberFormat="1" applyFont="1" applyBorder="1" applyAlignment="1" applyProtection="1">
      <alignment horizontal="left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6" fillId="0" borderId="41" xfId="0" applyFont="1" applyBorder="1" applyAlignment="1">
      <alignment horizontal="center"/>
    </xf>
    <xf numFmtId="0" fontId="2" fillId="9" borderId="43" xfId="24" applyFill="1" applyBorder="1" applyAlignment="1">
      <alignment horizontal="center"/>
    </xf>
    <xf numFmtId="0" fontId="2" fillId="9" borderId="41" xfId="24" applyFill="1" applyBorder="1" applyAlignment="1">
      <alignment horizontal="center"/>
    </xf>
    <xf numFmtId="0" fontId="2" fillId="9" borderId="18" xfId="43" applyFill="1" applyBorder="1" applyAlignment="1">
      <alignment horizontal="center"/>
    </xf>
    <xf numFmtId="0" fontId="2" fillId="9" borderId="21" xfId="43" applyFill="1" applyBorder="1" applyAlignment="1">
      <alignment horizontal="center"/>
    </xf>
    <xf numFmtId="0" fontId="2" fillId="9" borderId="43" xfId="38" applyFill="1" applyBorder="1" applyAlignment="1">
      <alignment horizontal="center"/>
    </xf>
    <xf numFmtId="0" fontId="2" fillId="9" borderId="41" xfId="38" applyFill="1" applyBorder="1" applyAlignment="1">
      <alignment horizontal="center"/>
    </xf>
    <xf numFmtId="0" fontId="2" fillId="10" borderId="43" xfId="43" applyFill="1" applyBorder="1" applyAlignment="1">
      <alignment horizontal="center"/>
    </xf>
    <xf numFmtId="0" fontId="2" fillId="10" borderId="41" xfId="43" applyFill="1" applyBorder="1" applyAlignment="1">
      <alignment horizontal="center"/>
    </xf>
    <xf numFmtId="0" fontId="2" fillId="10" borderId="42" xfId="43" applyFill="1" applyBorder="1" applyAlignment="1">
      <alignment horizontal="center"/>
    </xf>
    <xf numFmtId="0" fontId="2" fillId="9" borderId="43" xfId="43" applyFill="1" applyBorder="1" applyAlignment="1">
      <alignment horizontal="center"/>
    </xf>
    <xf numFmtId="0" fontId="2" fillId="9" borderId="41" xfId="43" applyFill="1" applyBorder="1" applyAlignment="1">
      <alignment horizontal="center"/>
    </xf>
    <xf numFmtId="0" fontId="2" fillId="9" borderId="42" xfId="43" applyFill="1" applyBorder="1" applyAlignment="1">
      <alignment horizontal="center"/>
    </xf>
  </cellXfs>
  <cellStyles count="57">
    <cellStyle name="Currency" xfId="4" builtinId="4"/>
    <cellStyle name="Komma 2" xfId="42" xr:uid="{00000000-0005-0000-0000-000000000000}"/>
    <cellStyle name="Normal" xfId="0" builtinId="0"/>
    <cellStyle name="Percent" xfId="1" builtinId="5"/>
    <cellStyle name="Prozent 2" xfId="22" xr:uid="{00000000-0005-0000-0000-000002000000}"/>
    <cellStyle name="Prozent 3" xfId="21" xr:uid="{00000000-0005-0000-0000-000003000000}"/>
    <cellStyle name="Standard 2" xfId="2" xr:uid="{00000000-0005-0000-0000-000005000000}"/>
    <cellStyle name="Standard 2 2" xfId="8" xr:uid="{00000000-0005-0000-0000-000006000000}"/>
    <cellStyle name="Standard 3" xfId="3" xr:uid="{00000000-0005-0000-0000-000007000000}"/>
    <cellStyle name="Standard 3 2" xfId="9" xr:uid="{00000000-0005-0000-0000-000008000000}"/>
    <cellStyle name="Standard 3 2 2" xfId="19" xr:uid="{00000000-0005-0000-0000-000009000000}"/>
    <cellStyle name="Standard 3 2 2 2" xfId="38" xr:uid="{00000000-0005-0000-0000-00000A000000}"/>
    <cellStyle name="Standard 3 2 2 3" xfId="55" xr:uid="{00000000-0005-0000-0000-00000B000000}"/>
    <cellStyle name="Standard 3 2 3" xfId="15" xr:uid="{00000000-0005-0000-0000-00000C000000}"/>
    <cellStyle name="Standard 3 2 3 2" xfId="34" xr:uid="{00000000-0005-0000-0000-00000D000000}"/>
    <cellStyle name="Standard 3 2 3 3" xfId="51" xr:uid="{00000000-0005-0000-0000-00000E000000}"/>
    <cellStyle name="Standard 3 2 4" xfId="30" xr:uid="{00000000-0005-0000-0000-00000F000000}"/>
    <cellStyle name="Standard 3 2 5" xfId="47" xr:uid="{00000000-0005-0000-0000-000010000000}"/>
    <cellStyle name="Standard 3 3" xfId="17" xr:uid="{00000000-0005-0000-0000-000011000000}"/>
    <cellStyle name="Standard 3 3 2" xfId="36" xr:uid="{00000000-0005-0000-0000-000012000000}"/>
    <cellStyle name="Standard 3 3 3" xfId="53" xr:uid="{00000000-0005-0000-0000-000013000000}"/>
    <cellStyle name="Standard 3 4" xfId="13" xr:uid="{00000000-0005-0000-0000-000014000000}"/>
    <cellStyle name="Standard 3 4 2" xfId="32" xr:uid="{00000000-0005-0000-0000-000015000000}"/>
    <cellStyle name="Standard 3 4 3" xfId="49" xr:uid="{00000000-0005-0000-0000-000016000000}"/>
    <cellStyle name="Standard 3 5" xfId="27" xr:uid="{00000000-0005-0000-0000-000017000000}"/>
    <cellStyle name="Standard 3 6" xfId="45" xr:uid="{00000000-0005-0000-0000-000018000000}"/>
    <cellStyle name="Standard 4" xfId="26" xr:uid="{00000000-0005-0000-0000-000019000000}"/>
    <cellStyle name="Standard 4 2" xfId="41" xr:uid="{00000000-0005-0000-0000-00001A000000}"/>
    <cellStyle name="Standard 5" xfId="24" xr:uid="{00000000-0005-0000-0000-00001B000000}"/>
    <cellStyle name="Standard 6" xfId="43" xr:uid="{00000000-0005-0000-0000-00001C000000}"/>
    <cellStyle name="Währung 2" xfId="5" xr:uid="{00000000-0005-0000-0000-00001E000000}"/>
    <cellStyle name="Währung 2 2" xfId="10" xr:uid="{00000000-0005-0000-0000-00001F000000}"/>
    <cellStyle name="Währung 3" xfId="6" xr:uid="{00000000-0005-0000-0000-000020000000}"/>
    <cellStyle name="Währung 3 2" xfId="11" xr:uid="{00000000-0005-0000-0000-000021000000}"/>
    <cellStyle name="Währung 4" xfId="7" xr:uid="{00000000-0005-0000-0000-000022000000}"/>
    <cellStyle name="Währung 4 2" xfId="12" xr:uid="{00000000-0005-0000-0000-000023000000}"/>
    <cellStyle name="Währung 4 2 2" xfId="20" xr:uid="{00000000-0005-0000-0000-000024000000}"/>
    <cellStyle name="Währung 4 2 2 2" xfId="39" xr:uid="{00000000-0005-0000-0000-000025000000}"/>
    <cellStyle name="Währung 4 2 2 3" xfId="56" xr:uid="{00000000-0005-0000-0000-000026000000}"/>
    <cellStyle name="Währung 4 2 3" xfId="16" xr:uid="{00000000-0005-0000-0000-000027000000}"/>
    <cellStyle name="Währung 4 2 3 2" xfId="35" xr:uid="{00000000-0005-0000-0000-000028000000}"/>
    <cellStyle name="Währung 4 2 3 3" xfId="52" xr:uid="{00000000-0005-0000-0000-000029000000}"/>
    <cellStyle name="Währung 4 2 4" xfId="31" xr:uid="{00000000-0005-0000-0000-00002A000000}"/>
    <cellStyle name="Währung 4 2 5" xfId="48" xr:uid="{00000000-0005-0000-0000-00002B000000}"/>
    <cellStyle name="Währung 4 3" xfId="18" xr:uid="{00000000-0005-0000-0000-00002C000000}"/>
    <cellStyle name="Währung 4 3 2" xfId="37" xr:uid="{00000000-0005-0000-0000-00002D000000}"/>
    <cellStyle name="Währung 4 3 3" xfId="54" xr:uid="{00000000-0005-0000-0000-00002E000000}"/>
    <cellStyle name="Währung 4 4" xfId="14" xr:uid="{00000000-0005-0000-0000-00002F000000}"/>
    <cellStyle name="Währung 4 4 2" xfId="33" xr:uid="{00000000-0005-0000-0000-000030000000}"/>
    <cellStyle name="Währung 4 4 3" xfId="50" xr:uid="{00000000-0005-0000-0000-000031000000}"/>
    <cellStyle name="Währung 4 5" xfId="29" xr:uid="{00000000-0005-0000-0000-000032000000}"/>
    <cellStyle name="Währung 4 6" xfId="46" xr:uid="{00000000-0005-0000-0000-000033000000}"/>
    <cellStyle name="Währung 5" xfId="23" xr:uid="{00000000-0005-0000-0000-000034000000}"/>
    <cellStyle name="Währung 5 2" xfId="40" xr:uid="{00000000-0005-0000-0000-000035000000}"/>
    <cellStyle name="Währung 5 3" xfId="28" xr:uid="{00000000-0005-0000-0000-000036000000}"/>
    <cellStyle name="Währung 6" xfId="25" xr:uid="{00000000-0005-0000-0000-000037000000}"/>
    <cellStyle name="Währung 7" xfId="44" xr:uid="{00000000-0005-0000-0000-000038000000}"/>
  </cellStyles>
  <dxfs count="6">
    <dxf>
      <numFmt numFmtId="2" formatCode="0.00"/>
      <fill>
        <patternFill patternType="solid">
          <fgColor indexed="64"/>
          <bgColor indexed="41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/>
        <bottom/>
        <vertical/>
        <horizontal/>
      </border>
      <protection locked="0" hidden="0"/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104775</xdr:colOff>
      <xdr:row>25</xdr:row>
      <xdr:rowOff>38100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3E4B5086-F2D7-4C7E-A351-8CB4A5FBEAF4}"/>
            </a:ext>
          </a:extLst>
        </xdr:cNvPr>
        <xdr:cNvSpPr/>
      </xdr:nvSpPr>
      <xdr:spPr>
        <a:xfrm>
          <a:off x="0" y="0"/>
          <a:ext cx="14497050" cy="6257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371475</xdr:colOff>
      <xdr:row>127</xdr:row>
      <xdr:rowOff>142875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27536775" cy="23622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10660-06D3-4826-8FB7-D8BDAE3EEA86}" name="MatrixTable" displayName="MatrixTable" ref="B3:F67" totalsRowShown="0" headerRowDxfId="5" tableBorderDxfId="4">
  <autoFilter ref="B3:F67" xr:uid="{03810660-06D3-4826-8FB7-D8BDAE3EEA8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738DDEA-0E87-4D85-8AE4-0D6BA4CF3F9A}" name="module_part" dataDxfId="3" dataCellStyle="Standard 2 2"/>
    <tableColumn id="2" xr3:uid="{CB399CE5-2432-49DA-9186-7D314D92B7F0}" name="id_no" dataDxfId="2" dataCellStyle="Standard 2 2"/>
    <tableColumn id="3" xr3:uid="{E31250E4-232D-4967-B117-A15F10AA6FFC}" name="price"/>
    <tableColumn id="4" xr3:uid="{98712223-7D92-41EE-AECA-39A67077E3A5}" name="need_amount" dataDxfId="1" dataCellStyle="Standard 2 2"/>
    <tableColumn id="5" xr3:uid="{6EB483AC-7C62-4CA5-8364-AF3474E1E504}" name="price_sum" dataDxfId="0" dataCellStyle="Standard 2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9"/>
    <pageSetUpPr fitToPage="1"/>
  </sheetPr>
  <dimension ref="A1:AE110"/>
  <sheetViews>
    <sheetView tabSelected="1" view="pageBreakPreview" topLeftCell="A18" zoomScale="90" zoomScaleNormal="90" zoomScaleSheetLayoutView="90" workbookViewId="0">
      <selection activeCell="C36" sqref="C36"/>
    </sheetView>
  </sheetViews>
  <sheetFormatPr defaultColWidth="9.140625" defaultRowHeight="12.75" outlineLevelRow="1" outlineLevelCol="1" x14ac:dyDescent="0.2"/>
  <cols>
    <col min="1" max="1" width="5.42578125" customWidth="1"/>
    <col min="2" max="2" width="35.85546875" customWidth="1"/>
    <col min="3" max="3" width="20.140625" bestFit="1" customWidth="1"/>
    <col min="4" max="4" width="11.42578125" hidden="1" customWidth="1" outlineLevel="1"/>
    <col min="5" max="5" width="14.85546875" style="1" customWidth="1" collapsed="1"/>
    <col min="6" max="6" width="24.5703125" style="1" customWidth="1"/>
    <col min="7" max="7" width="4.28515625" style="1" customWidth="1"/>
    <col min="8" max="8" width="4.140625" style="1" hidden="1" customWidth="1" outlineLevel="1"/>
    <col min="9" max="9" width="12.140625" style="1" hidden="1" customWidth="1" outlineLevel="1"/>
    <col min="10" max="10" width="43.7109375" style="1" hidden="1" customWidth="1" outlineLevel="1"/>
    <col min="11" max="11" width="3.85546875" style="1" hidden="1" customWidth="1" outlineLevel="1"/>
    <col min="12" max="12" width="9.7109375" style="1" customWidth="1" collapsed="1"/>
    <col min="13" max="13" width="9.7109375" style="1" customWidth="1"/>
    <col min="14" max="14" width="18.85546875" style="1" customWidth="1"/>
    <col min="15" max="15" width="14" style="1" customWidth="1"/>
    <col min="16" max="16" width="7.85546875" style="1" customWidth="1"/>
    <col min="17" max="17" width="14" style="1" customWidth="1"/>
    <col min="18" max="18" width="11" style="1" customWidth="1"/>
    <col min="19" max="19" width="9.28515625" style="1" customWidth="1"/>
    <col min="20" max="20" width="11.42578125" customWidth="1"/>
    <col min="21" max="21" width="11.5703125" style="22" customWidth="1"/>
    <col min="22" max="22" width="24.140625" customWidth="1"/>
    <col min="23" max="23" width="13.42578125" customWidth="1"/>
    <col min="24" max="24" width="20.5703125" bestFit="1" customWidth="1"/>
    <col min="25" max="25" width="14.85546875" bestFit="1" customWidth="1"/>
    <col min="27" max="27" width="23.5703125" bestFit="1" customWidth="1"/>
    <col min="28" max="28" width="16.140625" customWidth="1"/>
  </cols>
  <sheetData>
    <row r="1" spans="1:31" ht="3.75" customHeight="1" thickBot="1" x14ac:dyDescent="0.25">
      <c r="A1" s="26"/>
      <c r="B1" s="26"/>
      <c r="C1" s="26"/>
      <c r="D1" s="26"/>
      <c r="E1" s="24"/>
      <c r="F1" s="24"/>
      <c r="G1" s="24"/>
      <c r="H1" s="24"/>
      <c r="I1" s="27"/>
      <c r="J1" s="28" t="s">
        <v>42</v>
      </c>
      <c r="K1" s="29"/>
      <c r="L1" s="16"/>
      <c r="M1" s="16"/>
      <c r="N1" s="16"/>
      <c r="U1" s="4"/>
    </row>
    <row r="2" spans="1:31" ht="18" x14ac:dyDescent="0.2">
      <c r="A2" s="26"/>
      <c r="B2" s="276" t="s">
        <v>76</v>
      </c>
      <c r="C2" s="276"/>
      <c r="D2" s="276"/>
      <c r="E2" s="276"/>
      <c r="F2" s="276"/>
      <c r="G2" s="30"/>
      <c r="H2" s="24"/>
      <c r="I2" s="27"/>
      <c r="J2" s="28"/>
      <c r="K2" s="31"/>
      <c r="L2" s="7"/>
      <c r="M2" s="7"/>
      <c r="N2" s="7"/>
      <c r="U2" s="5"/>
    </row>
    <row r="3" spans="1:31" ht="5.25" customHeight="1" x14ac:dyDescent="0.2">
      <c r="A3" s="26"/>
      <c r="B3" s="250" t="s">
        <v>227</v>
      </c>
      <c r="C3" s="250" t="s">
        <v>228</v>
      </c>
      <c r="D3" s="250" t="s">
        <v>229</v>
      </c>
      <c r="E3" s="250" t="s">
        <v>230</v>
      </c>
      <c r="F3" s="251" t="s">
        <v>231</v>
      </c>
      <c r="G3" s="24"/>
      <c r="H3" s="24"/>
      <c r="I3" s="24"/>
      <c r="J3" s="24"/>
      <c r="K3" s="24"/>
      <c r="U3" s="6"/>
    </row>
    <row r="4" spans="1:31" x14ac:dyDescent="0.2">
      <c r="A4" s="26"/>
      <c r="B4" s="32" t="s">
        <v>48</v>
      </c>
      <c r="C4" s="257" t="s">
        <v>232</v>
      </c>
      <c r="D4" s="26"/>
      <c r="E4" s="24"/>
      <c r="F4" s="90" t="s">
        <v>218</v>
      </c>
      <c r="G4" s="33"/>
      <c r="H4" s="24"/>
      <c r="I4" s="24"/>
      <c r="J4" s="24"/>
      <c r="K4" s="34"/>
    </row>
    <row r="5" spans="1:31" x14ac:dyDescent="0.2">
      <c r="A5" s="26"/>
      <c r="B5" s="32" t="s">
        <v>49</v>
      </c>
      <c r="C5" s="248"/>
      <c r="D5" s="249"/>
      <c r="E5" s="249"/>
      <c r="F5" s="90" t="s">
        <v>234</v>
      </c>
      <c r="G5" s="35"/>
      <c r="H5" s="24"/>
      <c r="I5" s="24"/>
      <c r="J5" s="24"/>
      <c r="K5" s="34"/>
    </row>
    <row r="6" spans="1:31" ht="12.75" customHeight="1" x14ac:dyDescent="0.2">
      <c r="A6" s="26"/>
      <c r="B6" s="32"/>
      <c r="C6" s="18"/>
      <c r="D6" s="91"/>
      <c r="E6" s="92"/>
      <c r="F6" s="32" t="s">
        <v>236</v>
      </c>
      <c r="G6" s="24"/>
      <c r="H6" s="24"/>
      <c r="I6" s="24"/>
      <c r="J6" s="24"/>
      <c r="K6" s="34"/>
    </row>
    <row r="7" spans="1:31" ht="13.5" customHeight="1" x14ac:dyDescent="0.2">
      <c r="A7" s="26"/>
      <c r="B7" s="93" t="s">
        <v>233</v>
      </c>
      <c r="C7" s="258" t="s">
        <v>50</v>
      </c>
      <c r="D7" s="26"/>
      <c r="E7" s="256"/>
      <c r="F7" s="24"/>
      <c r="G7" s="24"/>
      <c r="H7" s="24"/>
      <c r="I7" s="24"/>
      <c r="J7" s="24"/>
      <c r="K7" s="24"/>
    </row>
    <row r="8" spans="1:31" s="84" customFormat="1" ht="13.5" customHeight="1" x14ac:dyDescent="0.2">
      <c r="A8" s="82"/>
      <c r="B8" s="93" t="s">
        <v>233</v>
      </c>
      <c r="C8" s="259" t="s">
        <v>51</v>
      </c>
      <c r="D8" s="82"/>
      <c r="E8" s="83"/>
      <c r="F8" s="81"/>
      <c r="G8" s="83"/>
      <c r="H8" s="83"/>
      <c r="I8" s="83"/>
      <c r="J8" s="83"/>
      <c r="K8" s="83"/>
    </row>
    <row r="9" spans="1:31" s="84" customFormat="1" ht="13.5" customHeight="1" thickBot="1" x14ac:dyDescent="0.25">
      <c r="A9" s="82"/>
      <c r="B9" s="93" t="s">
        <v>233</v>
      </c>
      <c r="C9" s="259" t="s">
        <v>52</v>
      </c>
      <c r="D9" s="82"/>
      <c r="E9" s="83"/>
      <c r="F9" s="123" t="s">
        <v>215</v>
      </c>
      <c r="G9" s="83"/>
      <c r="H9" s="83"/>
      <c r="I9" s="83"/>
      <c r="J9" s="83"/>
      <c r="K9" s="83"/>
      <c r="W9" s="82"/>
      <c r="X9" s="82"/>
      <c r="Y9" s="82"/>
      <c r="Z9" s="82"/>
      <c r="AA9" s="82"/>
    </row>
    <row r="10" spans="1:31" ht="15" customHeight="1" x14ac:dyDescent="0.25">
      <c r="A10" s="26"/>
      <c r="B10" s="36" t="s">
        <v>22</v>
      </c>
      <c r="C10" s="260"/>
      <c r="D10" s="37"/>
      <c r="E10" s="38"/>
      <c r="F10" s="39"/>
      <c r="G10" s="26"/>
      <c r="H10" s="24"/>
      <c r="I10" s="27"/>
      <c r="J10" s="24"/>
      <c r="K10" s="24"/>
      <c r="W10" s="26"/>
      <c r="X10" s="26"/>
      <c r="Y10" s="26"/>
      <c r="Z10" s="26"/>
      <c r="AA10" s="26"/>
    </row>
    <row r="11" spans="1:31" s="3" customFormat="1" ht="25.5" customHeight="1" thickBot="1" x14ac:dyDescent="0.25">
      <c r="A11" s="26"/>
      <c r="B11" s="40" t="s">
        <v>0</v>
      </c>
      <c r="C11" s="261"/>
      <c r="D11" s="41" t="s">
        <v>1</v>
      </c>
      <c r="E11" s="42" t="s">
        <v>2</v>
      </c>
      <c r="F11" s="43" t="s">
        <v>3</v>
      </c>
      <c r="G11" s="44"/>
      <c r="H11" s="30"/>
      <c r="I11" s="143"/>
      <c r="J11" s="27"/>
      <c r="K11" s="27"/>
      <c r="AD11"/>
      <c r="AE11"/>
    </row>
    <row r="12" spans="1:31" s="2" customFormat="1" x14ac:dyDescent="0.2">
      <c r="A12" s="26"/>
      <c r="B12" s="45" t="s">
        <v>23</v>
      </c>
      <c r="C12" s="262"/>
      <c r="D12" s="46"/>
      <c r="E12" s="47"/>
      <c r="F12" s="48"/>
      <c r="G12" s="32"/>
      <c r="H12" s="32"/>
      <c r="I12" s="32"/>
      <c r="J12" s="32"/>
      <c r="K12" s="32"/>
      <c r="N12"/>
      <c r="AB12" s="85"/>
      <c r="AC12" s="32"/>
      <c r="AD12"/>
      <c r="AE12"/>
    </row>
    <row r="13" spans="1:31" s="2" customFormat="1" x14ac:dyDescent="0.2">
      <c r="A13" s="31"/>
      <c r="B13" s="49" t="s">
        <v>94</v>
      </c>
      <c r="C13" s="271"/>
      <c r="D13" s="50">
        <f>'Calc.'!H6</f>
        <v>798.12200000000007</v>
      </c>
      <c r="E13" s="51"/>
      <c r="F13" s="52">
        <f>E13*D13</f>
        <v>0</v>
      </c>
      <c r="G13" s="32"/>
      <c r="H13" s="32"/>
      <c r="I13" s="32"/>
      <c r="J13" s="69"/>
      <c r="K13" s="32"/>
      <c r="N13"/>
      <c r="AB13" s="85"/>
      <c r="AC13" s="32"/>
      <c r="AD13"/>
      <c r="AE13"/>
    </row>
    <row r="14" spans="1:31" s="2" customFormat="1" ht="14.25" customHeight="1" x14ac:dyDescent="0.2">
      <c r="A14" s="26"/>
      <c r="B14" s="45" t="s">
        <v>24</v>
      </c>
      <c r="C14" s="264"/>
      <c r="D14" s="53"/>
      <c r="E14" s="54"/>
      <c r="F14" s="55"/>
      <c r="G14" s="32"/>
      <c r="H14" s="32"/>
      <c r="I14" s="32"/>
      <c r="J14" s="93"/>
      <c r="K14" s="32"/>
      <c r="N14"/>
      <c r="AB14" s="86"/>
      <c r="AC14" s="32"/>
      <c r="AD14"/>
      <c r="AE14"/>
    </row>
    <row r="15" spans="1:31" s="2" customFormat="1" x14ac:dyDescent="0.2">
      <c r="A15" s="26"/>
      <c r="B15" s="122" t="s">
        <v>186</v>
      </c>
      <c r="C15" s="263"/>
      <c r="D15" s="50">
        <f>'Calc.'!H17</f>
        <v>6967.2220000000007</v>
      </c>
      <c r="E15" s="51"/>
      <c r="F15" s="52">
        <f t="shared" ref="F15" si="0">E15*D15</f>
        <v>0</v>
      </c>
      <c r="G15" s="32"/>
      <c r="H15" s="32"/>
      <c r="I15" s="32"/>
      <c r="J15" s="243" t="s">
        <v>216</v>
      </c>
      <c r="K15" s="32"/>
      <c r="N15"/>
      <c r="AB15" s="86"/>
      <c r="AC15" s="32"/>
      <c r="AD15"/>
      <c r="AE15"/>
    </row>
    <row r="16" spans="1:31" x14ac:dyDescent="0.2">
      <c r="A16" s="26"/>
      <c r="B16" s="45" t="s">
        <v>25</v>
      </c>
      <c r="C16" s="264"/>
      <c r="D16" s="53"/>
      <c r="E16" s="54"/>
      <c r="F16" s="55"/>
      <c r="G16" s="26"/>
      <c r="H16" s="24"/>
      <c r="I16" s="24"/>
      <c r="J16" s="244"/>
      <c r="K16" s="24"/>
      <c r="N16"/>
      <c r="AB16" s="85"/>
      <c r="AC16" s="26"/>
    </row>
    <row r="17" spans="1:31" x14ac:dyDescent="0.2">
      <c r="A17" s="31"/>
      <c r="B17" s="56" t="s">
        <v>95</v>
      </c>
      <c r="C17" s="263"/>
      <c r="D17" s="50">
        <f>'Calc.'!H31</f>
        <v>2739.2059999999992</v>
      </c>
      <c r="E17" s="51"/>
      <c r="F17" s="52">
        <f>E17*D17</f>
        <v>0</v>
      </c>
      <c r="G17" s="26"/>
      <c r="H17" s="24"/>
      <c r="I17" s="32"/>
      <c r="J17" s="243"/>
      <c r="K17" s="24"/>
      <c r="N17"/>
      <c r="AB17" s="85"/>
      <c r="AC17" s="26"/>
    </row>
    <row r="18" spans="1:31" ht="13.5" thickBot="1" x14ac:dyDescent="0.25">
      <c r="A18" s="31"/>
      <c r="B18" s="57"/>
      <c r="C18" s="265"/>
      <c r="D18" s="59"/>
      <c r="E18" s="60"/>
      <c r="F18" s="61">
        <f>SUM(F13:F17)</f>
        <v>0</v>
      </c>
      <c r="G18" s="26"/>
      <c r="H18" s="24"/>
      <c r="I18" s="24"/>
      <c r="J18" s="244"/>
      <c r="K18" s="24"/>
      <c r="N18"/>
      <c r="AB18" s="85"/>
      <c r="AC18" s="26"/>
    </row>
    <row r="19" spans="1:31" ht="15" x14ac:dyDescent="0.25">
      <c r="A19" s="31"/>
      <c r="B19" s="36" t="s">
        <v>18</v>
      </c>
      <c r="C19" s="260"/>
      <c r="D19" s="62"/>
      <c r="E19" s="38"/>
      <c r="F19" s="39"/>
      <c r="G19" s="26"/>
      <c r="H19" s="24"/>
      <c r="I19" s="24"/>
      <c r="J19" s="244"/>
      <c r="K19" s="24"/>
      <c r="N19"/>
      <c r="AB19" s="85"/>
      <c r="AC19" s="26"/>
    </row>
    <row r="20" spans="1:31" s="2" customFormat="1" ht="13.5" thickBot="1" x14ac:dyDescent="0.25">
      <c r="A20" s="31"/>
      <c r="B20" s="63" t="s">
        <v>55</v>
      </c>
      <c r="C20" s="266" t="s">
        <v>20</v>
      </c>
      <c r="D20" s="64"/>
      <c r="E20" s="65"/>
      <c r="F20" s="66" t="s">
        <v>3</v>
      </c>
      <c r="G20" s="32"/>
      <c r="H20" s="32"/>
      <c r="I20" s="32"/>
      <c r="J20" s="93"/>
      <c r="K20" s="32"/>
      <c r="N20"/>
      <c r="AB20" s="85"/>
      <c r="AC20" s="32"/>
      <c r="AD20"/>
      <c r="AE20"/>
    </row>
    <row r="21" spans="1:31" x14ac:dyDescent="0.2">
      <c r="A21" s="26"/>
      <c r="B21" s="124" t="s">
        <v>96</v>
      </c>
      <c r="C21" s="272" t="s">
        <v>246</v>
      </c>
      <c r="D21" s="68">
        <f>'Calc.'!H42</f>
        <v>1102.1680000000001</v>
      </c>
      <c r="E21" s="51"/>
      <c r="F21" s="52">
        <f t="shared" ref="F21" si="1">E21*D21</f>
        <v>0</v>
      </c>
      <c r="G21" s="69"/>
      <c r="H21" s="24"/>
      <c r="I21" s="32"/>
      <c r="J21" s="243"/>
      <c r="K21" s="32"/>
      <c r="N21"/>
      <c r="AB21" s="85"/>
      <c r="AC21" s="26"/>
    </row>
    <row r="22" spans="1:31" x14ac:dyDescent="0.2">
      <c r="A22" s="26"/>
      <c r="B22" s="226" t="s">
        <v>198</v>
      </c>
      <c r="C22" s="272" t="s">
        <v>247</v>
      </c>
      <c r="D22" s="68">
        <f>'Calc.'!H47</f>
        <v>7536.6420000000007</v>
      </c>
      <c r="E22" s="51"/>
      <c r="F22" s="52">
        <f>E22*D22</f>
        <v>0</v>
      </c>
      <c r="G22" s="69"/>
      <c r="H22" s="24"/>
      <c r="I22" s="32"/>
      <c r="J22" s="243" t="s">
        <v>217</v>
      </c>
      <c r="K22" s="32"/>
      <c r="N22"/>
      <c r="AB22" s="85"/>
      <c r="AC22" s="26"/>
    </row>
    <row r="23" spans="1:31" ht="13.5" thickBot="1" x14ac:dyDescent="0.25">
      <c r="A23" s="26"/>
      <c r="B23" s="58"/>
      <c r="C23" s="265"/>
      <c r="D23" s="59"/>
      <c r="E23" s="72"/>
      <c r="F23" s="73">
        <f>SUM(F21:F22)</f>
        <v>0</v>
      </c>
      <c r="G23" s="32"/>
      <c r="H23" s="71"/>
      <c r="I23" s="24"/>
      <c r="J23" s="244"/>
      <c r="K23" s="32"/>
      <c r="N23"/>
      <c r="AB23" s="85"/>
      <c r="AC23" s="26"/>
    </row>
    <row r="24" spans="1:31" ht="13.5" thickBot="1" x14ac:dyDescent="0.25">
      <c r="A24" s="26"/>
      <c r="B24" s="74"/>
      <c r="C24" s="267"/>
      <c r="D24" s="68"/>
      <c r="E24" s="24"/>
      <c r="F24" s="75"/>
      <c r="G24" s="27"/>
      <c r="H24" s="28"/>
      <c r="I24" s="24"/>
      <c r="J24" s="244"/>
      <c r="K24" s="32"/>
      <c r="N24"/>
      <c r="AB24" s="85"/>
      <c r="AC24" s="26"/>
    </row>
    <row r="25" spans="1:31" ht="15" x14ac:dyDescent="0.25">
      <c r="A25" s="26"/>
      <c r="B25" s="36" t="s">
        <v>5</v>
      </c>
      <c r="C25" s="260"/>
      <c r="D25" s="62"/>
      <c r="E25" s="38"/>
      <c r="F25" s="39"/>
      <c r="G25" s="27"/>
      <c r="H25" s="24"/>
      <c r="I25" s="24"/>
      <c r="J25" s="244"/>
      <c r="K25" s="24"/>
      <c r="N25"/>
      <c r="AB25" s="85"/>
      <c r="AC25" s="26"/>
    </row>
    <row r="26" spans="1:31" s="2" customFormat="1" ht="13.5" thickBot="1" x14ac:dyDescent="0.25">
      <c r="A26" s="32"/>
      <c r="B26" s="63" t="s">
        <v>0</v>
      </c>
      <c r="C26" s="266"/>
      <c r="D26" s="64" t="s">
        <v>1</v>
      </c>
      <c r="E26" s="65"/>
      <c r="F26" s="66" t="s">
        <v>3</v>
      </c>
      <c r="G26" s="32"/>
      <c r="H26" s="32"/>
      <c r="I26" s="32"/>
      <c r="J26" s="32"/>
      <c r="K26" s="32"/>
      <c r="N26"/>
      <c r="AB26" s="85"/>
      <c r="AC26" s="32"/>
      <c r="AD26"/>
      <c r="AE26"/>
    </row>
    <row r="27" spans="1:31" s="2" customFormat="1" x14ac:dyDescent="0.2">
      <c r="A27" s="32"/>
      <c r="B27" s="45" t="s">
        <v>4</v>
      </c>
      <c r="C27" s="264"/>
      <c r="D27" s="53"/>
      <c r="E27" s="54"/>
      <c r="F27" s="55"/>
      <c r="G27" s="32"/>
      <c r="H27" s="32"/>
      <c r="I27" s="32"/>
      <c r="J27" s="32"/>
      <c r="K27" s="32"/>
      <c r="N27"/>
      <c r="AB27" s="85"/>
      <c r="AC27" s="32"/>
      <c r="AD27"/>
      <c r="AE27"/>
    </row>
    <row r="28" spans="1:31" x14ac:dyDescent="0.2">
      <c r="A28" s="31"/>
      <c r="B28" s="88" t="s">
        <v>41</v>
      </c>
      <c r="C28" s="272" t="s">
        <v>237</v>
      </c>
      <c r="D28" s="68">
        <f>'Calc.'!H56</f>
        <v>602.96399999999994</v>
      </c>
      <c r="E28" s="70"/>
      <c r="F28" s="52">
        <f t="shared" ref="F28:F38" si="2">E28*D28</f>
        <v>0</v>
      </c>
      <c r="G28" s="69"/>
      <c r="H28" s="24"/>
      <c r="I28" s="32"/>
      <c r="J28" s="69"/>
      <c r="K28" s="24"/>
      <c r="N28"/>
      <c r="AB28" s="85"/>
      <c r="AC28" s="26"/>
    </row>
    <row r="29" spans="1:31" x14ac:dyDescent="0.2">
      <c r="A29" s="31"/>
      <c r="B29" s="88" t="s">
        <v>142</v>
      </c>
      <c r="C29" s="272" t="s">
        <v>238</v>
      </c>
      <c r="D29" s="68">
        <f>'Calc.'!I61</f>
        <v>1270.4000000000001</v>
      </c>
      <c r="E29" s="70"/>
      <c r="F29" s="52">
        <f t="shared" si="2"/>
        <v>0</v>
      </c>
      <c r="G29" s="69"/>
      <c r="H29" s="24"/>
      <c r="I29" s="32"/>
      <c r="J29" s="69"/>
      <c r="K29" s="24"/>
      <c r="N29"/>
      <c r="AB29" s="85"/>
      <c r="AC29" s="26"/>
    </row>
    <row r="30" spans="1:31" x14ac:dyDescent="0.2">
      <c r="A30" s="31"/>
      <c r="B30" s="88" t="s">
        <v>160</v>
      </c>
      <c r="C30" s="272" t="s">
        <v>239</v>
      </c>
      <c r="D30" s="68">
        <f>'Calc.'!I62</f>
        <v>972</v>
      </c>
      <c r="E30" s="70"/>
      <c r="F30" s="52">
        <f t="shared" si="2"/>
        <v>0</v>
      </c>
      <c r="G30" s="69"/>
      <c r="H30" s="24"/>
      <c r="I30" s="32"/>
      <c r="J30" s="69"/>
      <c r="K30" s="24"/>
      <c r="N30"/>
      <c r="AB30" s="85"/>
      <c r="AC30" s="26"/>
    </row>
    <row r="31" spans="1:31" x14ac:dyDescent="0.2">
      <c r="A31" s="31"/>
      <c r="B31" s="88" t="s">
        <v>161</v>
      </c>
      <c r="C31" s="272" t="s">
        <v>240</v>
      </c>
      <c r="D31" s="68">
        <f>'Calc.'!I63</f>
        <v>687.59999999999991</v>
      </c>
      <c r="E31" s="70"/>
      <c r="F31" s="52">
        <f t="shared" si="2"/>
        <v>0</v>
      </c>
      <c r="G31" s="69"/>
      <c r="H31" s="24"/>
      <c r="I31" s="32"/>
      <c r="J31" s="69"/>
      <c r="K31" s="24"/>
      <c r="N31"/>
      <c r="AB31" s="85"/>
      <c r="AC31" s="26"/>
    </row>
    <row r="32" spans="1:31" x14ac:dyDescent="0.2">
      <c r="A32" s="31"/>
      <c r="B32" s="88" t="s">
        <v>143</v>
      </c>
      <c r="C32" s="272" t="s">
        <v>241</v>
      </c>
      <c r="D32" s="68">
        <f>'Calc.'!I64</f>
        <v>539.79999999999995</v>
      </c>
      <c r="E32" s="70"/>
      <c r="F32" s="52">
        <f t="shared" si="2"/>
        <v>0</v>
      </c>
      <c r="G32" s="69"/>
      <c r="H32" s="24"/>
      <c r="I32" s="32"/>
      <c r="J32" s="69"/>
      <c r="K32" s="24"/>
      <c r="N32"/>
      <c r="AB32" s="85"/>
      <c r="AC32" s="26"/>
    </row>
    <row r="33" spans="1:31" x14ac:dyDescent="0.2">
      <c r="A33" s="31"/>
      <c r="B33" s="88" t="s">
        <v>144</v>
      </c>
      <c r="C33" s="272">
        <v>602391</v>
      </c>
      <c r="D33" s="68">
        <f>'Calc.'!I65</f>
        <v>847.2</v>
      </c>
      <c r="E33" s="70"/>
      <c r="F33" s="52">
        <f t="shared" si="2"/>
        <v>0</v>
      </c>
      <c r="G33" s="69"/>
      <c r="H33" s="24"/>
      <c r="I33" s="32"/>
      <c r="J33" s="69"/>
      <c r="K33" s="24"/>
      <c r="N33"/>
      <c r="AB33" s="85"/>
      <c r="AC33" s="26"/>
    </row>
    <row r="34" spans="1:31" x14ac:dyDescent="0.2">
      <c r="A34" s="31"/>
      <c r="B34" s="88" t="s">
        <v>145</v>
      </c>
      <c r="C34" s="272" t="s">
        <v>242</v>
      </c>
      <c r="D34" s="68">
        <f>'Calc.'!I66</f>
        <v>127.88</v>
      </c>
      <c r="E34" s="70"/>
      <c r="F34" s="52">
        <f t="shared" si="2"/>
        <v>0</v>
      </c>
      <c r="G34" s="69"/>
      <c r="H34" s="24"/>
      <c r="I34" s="32"/>
      <c r="J34" s="69"/>
      <c r="K34" s="24"/>
      <c r="N34"/>
      <c r="AB34" s="85"/>
      <c r="AC34" s="26"/>
    </row>
    <row r="35" spans="1:31" x14ac:dyDescent="0.2">
      <c r="A35" s="31"/>
      <c r="B35" s="88" t="s">
        <v>178</v>
      </c>
      <c r="C35" s="272" t="s">
        <v>243</v>
      </c>
      <c r="D35" s="68">
        <f>'Calc.'!I67</f>
        <v>423.6</v>
      </c>
      <c r="E35" s="70"/>
      <c r="F35" s="52">
        <f t="shared" si="2"/>
        <v>0</v>
      </c>
      <c r="G35" s="69"/>
      <c r="H35" s="24"/>
      <c r="I35" s="32"/>
      <c r="J35" s="69"/>
      <c r="K35" s="24"/>
      <c r="N35"/>
      <c r="AB35" s="85"/>
      <c r="AC35" s="26"/>
    </row>
    <row r="36" spans="1:31" ht="14.25" x14ac:dyDescent="0.25">
      <c r="A36" s="31"/>
      <c r="B36" s="88" t="s">
        <v>151</v>
      </c>
      <c r="C36" s="274" t="s">
        <v>249</v>
      </c>
      <c r="D36" s="68">
        <f>'Calc.'!I68</f>
        <v>303</v>
      </c>
      <c r="E36" s="70"/>
      <c r="F36" s="52">
        <f t="shared" si="2"/>
        <v>0</v>
      </c>
      <c r="G36" s="69"/>
      <c r="H36" s="24"/>
      <c r="I36" s="32"/>
      <c r="J36" s="69"/>
      <c r="K36" s="24"/>
      <c r="N36"/>
      <c r="AB36" s="85"/>
      <c r="AC36" s="26"/>
    </row>
    <row r="37" spans="1:31" x14ac:dyDescent="0.2">
      <c r="A37" s="31"/>
      <c r="B37" s="88" t="s">
        <v>162</v>
      </c>
      <c r="C37" s="272" t="s">
        <v>244</v>
      </c>
      <c r="D37" s="68">
        <f>'Calc.'!I69</f>
        <v>156.26</v>
      </c>
      <c r="E37" s="70"/>
      <c r="F37" s="52">
        <f t="shared" si="2"/>
        <v>0</v>
      </c>
      <c r="G37" s="69"/>
      <c r="H37" s="24"/>
      <c r="I37" s="32"/>
      <c r="J37" s="69"/>
      <c r="K37" s="24"/>
      <c r="N37"/>
      <c r="AB37" s="85"/>
      <c r="AC37" s="26"/>
    </row>
    <row r="38" spans="1:31" x14ac:dyDescent="0.2">
      <c r="A38" s="31"/>
      <c r="B38" s="88" t="s">
        <v>163</v>
      </c>
      <c r="C38" s="272" t="s">
        <v>245</v>
      </c>
      <c r="D38" s="68">
        <f>'Calc.'!I70</f>
        <v>1062.7559999999999</v>
      </c>
      <c r="E38" s="70"/>
      <c r="F38" s="52">
        <f t="shared" si="2"/>
        <v>0</v>
      </c>
      <c r="G38" s="69"/>
      <c r="H38" s="24"/>
      <c r="I38" s="32"/>
      <c r="J38" s="69"/>
      <c r="K38" s="24"/>
      <c r="N38"/>
      <c r="AB38" s="85"/>
      <c r="AC38" s="26"/>
    </row>
    <row r="39" spans="1:31" x14ac:dyDescent="0.2">
      <c r="A39" s="31"/>
      <c r="B39" s="74"/>
      <c r="C39" s="267"/>
      <c r="D39" s="68"/>
      <c r="E39" s="87"/>
      <c r="F39" s="75"/>
      <c r="G39" s="69"/>
      <c r="H39" s="24"/>
      <c r="I39" s="24"/>
      <c r="J39" s="24"/>
      <c r="K39" s="76"/>
      <c r="N39"/>
      <c r="AB39" s="85"/>
      <c r="AC39" s="26"/>
    </row>
    <row r="40" spans="1:31" s="2" customFormat="1" x14ac:dyDescent="0.2">
      <c r="A40" s="32"/>
      <c r="B40" s="45" t="s">
        <v>6</v>
      </c>
      <c r="C40" s="264"/>
      <c r="D40" s="53"/>
      <c r="E40" s="54"/>
      <c r="F40" s="55"/>
      <c r="G40" s="69"/>
      <c r="H40" s="32"/>
      <c r="I40" s="32"/>
      <c r="J40" s="32"/>
      <c r="K40" s="32"/>
      <c r="N40"/>
      <c r="AB40" s="85"/>
      <c r="AC40" s="32"/>
      <c r="AD40"/>
      <c r="AE40"/>
    </row>
    <row r="41" spans="1:31" x14ac:dyDescent="0.2">
      <c r="A41" s="31"/>
      <c r="B41" s="88" t="s">
        <v>10</v>
      </c>
      <c r="C41" s="272">
        <v>400370</v>
      </c>
      <c r="D41" s="68">
        <f>'Calc.'!I84</f>
        <v>465.9</v>
      </c>
      <c r="E41" s="70"/>
      <c r="F41" s="52">
        <f t="shared" ref="F41:F46" si="3">E41*D41</f>
        <v>0</v>
      </c>
      <c r="G41" s="69"/>
      <c r="H41" s="24"/>
      <c r="I41" s="32"/>
      <c r="J41" s="69"/>
      <c r="K41" s="24"/>
      <c r="N41"/>
      <c r="AB41" s="85"/>
      <c r="AC41" s="26"/>
    </row>
    <row r="42" spans="1:31" x14ac:dyDescent="0.2">
      <c r="A42" s="31"/>
      <c r="B42" s="88" t="s">
        <v>7</v>
      </c>
      <c r="C42" s="272">
        <v>604303</v>
      </c>
      <c r="D42" s="68">
        <f>'Calc.'!I85</f>
        <v>470.37999999999994</v>
      </c>
      <c r="E42" s="70"/>
      <c r="F42" s="52">
        <f t="shared" si="3"/>
        <v>0</v>
      </c>
      <c r="G42" s="69"/>
      <c r="H42" s="24"/>
      <c r="I42" s="32"/>
      <c r="J42" s="69"/>
      <c r="K42" s="24"/>
      <c r="N42"/>
      <c r="AB42" s="85"/>
      <c r="AC42" s="26"/>
    </row>
    <row r="43" spans="1:31" x14ac:dyDescent="0.2">
      <c r="A43" s="31"/>
      <c r="B43" s="74" t="s">
        <v>8</v>
      </c>
      <c r="C43" s="272">
        <v>604336</v>
      </c>
      <c r="D43" s="142">
        <f>'Calc.'!I86</f>
        <v>77.41</v>
      </c>
      <c r="E43" s="70"/>
      <c r="F43" s="52">
        <f t="shared" si="3"/>
        <v>0</v>
      </c>
      <c r="G43" s="69"/>
      <c r="H43" s="24"/>
      <c r="I43" s="32"/>
      <c r="J43" s="69"/>
      <c r="K43" s="24"/>
      <c r="N43"/>
      <c r="AB43" s="85"/>
      <c r="AC43" s="26"/>
    </row>
    <row r="44" spans="1:31" x14ac:dyDescent="0.2">
      <c r="A44" s="31"/>
      <c r="B44" s="88" t="s">
        <v>213</v>
      </c>
      <c r="C44" s="272">
        <v>400392</v>
      </c>
      <c r="D44" s="142">
        <f>'Calc.'!G78</f>
        <v>576.9</v>
      </c>
      <c r="E44" s="70"/>
      <c r="F44" s="52">
        <f t="shared" si="3"/>
        <v>0</v>
      </c>
      <c r="G44" s="69"/>
      <c r="H44" s="24"/>
      <c r="I44" s="32"/>
      <c r="J44" s="69"/>
      <c r="K44" s="24"/>
      <c r="N44"/>
      <c r="AB44" s="85"/>
      <c r="AC44" s="26"/>
    </row>
    <row r="45" spans="1:31" x14ac:dyDescent="0.2">
      <c r="A45" s="31"/>
      <c r="B45" s="88" t="s">
        <v>170</v>
      </c>
      <c r="C45" s="272">
        <v>610854</v>
      </c>
      <c r="D45" s="142">
        <f>'Calc.'!I87</f>
        <v>177.72</v>
      </c>
      <c r="E45" s="70"/>
      <c r="F45" s="52">
        <f t="shared" si="3"/>
        <v>0</v>
      </c>
      <c r="G45" s="69"/>
      <c r="H45" s="24"/>
      <c r="I45" s="32"/>
      <c r="J45" s="69"/>
      <c r="K45" s="76"/>
      <c r="N45"/>
      <c r="AB45" s="26"/>
      <c r="AC45" s="26"/>
    </row>
    <row r="46" spans="1:31" ht="14.25" x14ac:dyDescent="0.25">
      <c r="A46" s="31"/>
      <c r="B46" s="227" t="s">
        <v>202</v>
      </c>
      <c r="C46" s="273" t="s">
        <v>249</v>
      </c>
      <c r="D46" s="142">
        <f>'Calc.'!G108</f>
        <v>1228.6879999999999</v>
      </c>
      <c r="E46" s="70"/>
      <c r="F46" s="52">
        <f t="shared" si="3"/>
        <v>0</v>
      </c>
      <c r="G46" s="69"/>
      <c r="H46" s="24"/>
      <c r="I46" s="32"/>
      <c r="J46" s="69"/>
      <c r="K46" s="76"/>
      <c r="N46"/>
      <c r="AB46" s="26"/>
      <c r="AC46" s="26"/>
    </row>
    <row r="47" spans="1:31" x14ac:dyDescent="0.2">
      <c r="A47" s="31"/>
      <c r="B47" s="74"/>
      <c r="C47" s="267"/>
      <c r="D47" s="68"/>
      <c r="E47" s="87"/>
      <c r="F47" s="75"/>
      <c r="G47" s="69"/>
      <c r="H47" s="24"/>
      <c r="I47" s="24"/>
      <c r="J47" s="24"/>
      <c r="K47" s="76"/>
      <c r="N47"/>
      <c r="AB47" s="26"/>
      <c r="AC47" s="26"/>
    </row>
    <row r="48" spans="1:31" s="2" customFormat="1" x14ac:dyDescent="0.2">
      <c r="A48" s="32"/>
      <c r="B48" s="45" t="s">
        <v>9</v>
      </c>
      <c r="C48" s="264"/>
      <c r="D48" s="53"/>
      <c r="E48" s="54"/>
      <c r="F48" s="55"/>
      <c r="G48" s="69"/>
      <c r="H48" s="32"/>
      <c r="I48" s="28"/>
      <c r="J48" s="32"/>
      <c r="K48" s="32"/>
      <c r="N48"/>
      <c r="AB48" s="32"/>
      <c r="AC48" s="32"/>
    </row>
    <row r="49" spans="1:29" x14ac:dyDescent="0.2">
      <c r="A49" s="31"/>
      <c r="B49" s="88" t="s">
        <v>172</v>
      </c>
      <c r="C49" s="272">
        <v>900119</v>
      </c>
      <c r="D49" s="68">
        <f>'Calc.'!I88</f>
        <v>359.4</v>
      </c>
      <c r="E49" s="70"/>
      <c r="F49" s="52">
        <f>E49*D49</f>
        <v>0</v>
      </c>
      <c r="G49" s="69"/>
      <c r="H49" s="24"/>
      <c r="I49" s="32"/>
      <c r="J49" s="69"/>
      <c r="K49" s="24"/>
      <c r="N49"/>
      <c r="AB49" s="26"/>
      <c r="AC49" s="26"/>
    </row>
    <row r="50" spans="1:29" x14ac:dyDescent="0.2">
      <c r="A50" s="31"/>
      <c r="B50" s="74" t="s">
        <v>12</v>
      </c>
      <c r="C50" s="272" t="s">
        <v>248</v>
      </c>
      <c r="D50" s="68">
        <f>'Calc.'!I89</f>
        <v>739.4</v>
      </c>
      <c r="E50" s="70"/>
      <c r="F50" s="52">
        <f>E50*D50</f>
        <v>0</v>
      </c>
      <c r="G50" s="69"/>
      <c r="H50" s="24"/>
      <c r="I50" s="32"/>
      <c r="J50" s="69"/>
      <c r="K50" s="24"/>
      <c r="N50"/>
      <c r="AB50" s="26"/>
      <c r="AC50" s="26"/>
    </row>
    <row r="51" spans="1:29" x14ac:dyDescent="0.2">
      <c r="A51" s="31"/>
      <c r="B51" s="74" t="s">
        <v>11</v>
      </c>
      <c r="C51" s="272">
        <v>610906</v>
      </c>
      <c r="D51" s="68">
        <f>'Calc.'!G101</f>
        <v>425.27119999999996</v>
      </c>
      <c r="E51" s="70"/>
      <c r="F51" s="52">
        <f>E51*D51</f>
        <v>0</v>
      </c>
      <c r="G51" s="69"/>
      <c r="H51" s="24"/>
      <c r="I51" s="32"/>
      <c r="J51" s="69"/>
      <c r="K51" s="24"/>
      <c r="N51"/>
      <c r="AB51" s="26"/>
      <c r="AC51" s="26"/>
    </row>
    <row r="52" spans="1:29" x14ac:dyDescent="0.2">
      <c r="A52" s="31"/>
      <c r="B52" s="67" t="s">
        <v>13</v>
      </c>
      <c r="C52" s="275">
        <v>602574</v>
      </c>
      <c r="D52" s="68">
        <f>'Calc.'!I90</f>
        <v>164.83999999999997</v>
      </c>
      <c r="E52" s="70"/>
      <c r="F52" s="52">
        <f>E52*D52</f>
        <v>0</v>
      </c>
      <c r="G52" s="69"/>
      <c r="H52" s="77"/>
      <c r="I52" s="32"/>
      <c r="J52" s="69"/>
      <c r="K52" s="24"/>
      <c r="N52"/>
      <c r="AB52" s="26"/>
      <c r="AC52" s="26"/>
    </row>
    <row r="53" spans="1:29" x14ac:dyDescent="0.2">
      <c r="A53" s="31"/>
      <c r="B53" s="74"/>
      <c r="C53" s="267"/>
      <c r="D53" s="68"/>
      <c r="E53" s="87"/>
      <c r="F53" s="75"/>
      <c r="G53" s="32"/>
      <c r="H53" s="24"/>
      <c r="I53" s="28"/>
      <c r="J53" s="24"/>
      <c r="K53" s="76"/>
      <c r="N53"/>
      <c r="AB53" s="26"/>
      <c r="AC53" s="26"/>
    </row>
    <row r="54" spans="1:29" ht="13.5" thickBot="1" x14ac:dyDescent="0.25">
      <c r="A54" s="26"/>
      <c r="B54" s="57"/>
      <c r="C54" s="265"/>
      <c r="D54" s="59"/>
      <c r="E54" s="72"/>
      <c r="F54" s="61">
        <f>SUM(F27:F53)</f>
        <v>0</v>
      </c>
      <c r="G54" s="69"/>
      <c r="H54" s="24"/>
      <c r="I54" s="24"/>
      <c r="J54" s="24"/>
      <c r="K54" s="24"/>
      <c r="N54"/>
      <c r="AB54" s="26"/>
      <c r="AC54" s="26"/>
    </row>
    <row r="55" spans="1:29" ht="15" x14ac:dyDescent="0.25">
      <c r="A55" s="26"/>
      <c r="B55" s="36" t="s">
        <v>19</v>
      </c>
      <c r="C55" s="260"/>
      <c r="D55" s="62"/>
      <c r="E55" s="38"/>
      <c r="F55" s="39"/>
      <c r="G55" s="32"/>
      <c r="H55" s="24"/>
      <c r="I55" s="24"/>
      <c r="J55" s="24"/>
      <c r="K55" s="24"/>
      <c r="N55"/>
      <c r="AB55" s="26"/>
      <c r="AC55" s="26"/>
    </row>
    <row r="56" spans="1:29" s="2" customFormat="1" ht="13.5" thickBot="1" x14ac:dyDescent="0.25">
      <c r="A56" s="32"/>
      <c r="B56" s="63" t="s">
        <v>54</v>
      </c>
      <c r="C56" s="266"/>
      <c r="D56" s="64" t="s">
        <v>1</v>
      </c>
      <c r="E56" s="65"/>
      <c r="F56" s="66"/>
      <c r="G56" s="32"/>
      <c r="H56" s="32"/>
      <c r="I56" s="32"/>
      <c r="J56" s="32"/>
      <c r="K56" s="32"/>
      <c r="N56"/>
      <c r="AB56" s="32"/>
      <c r="AC56" s="32"/>
    </row>
    <row r="57" spans="1:29" x14ac:dyDescent="0.2">
      <c r="A57" s="26"/>
      <c r="B57" s="145" t="s">
        <v>26</v>
      </c>
      <c r="C57" s="268"/>
      <c r="D57" s="146">
        <f>(2+13.5)*90</f>
        <v>1395</v>
      </c>
      <c r="E57" s="102"/>
      <c r="F57" s="52"/>
      <c r="G57" s="32"/>
      <c r="H57" s="24"/>
      <c r="I57" s="32"/>
      <c r="J57" s="69"/>
      <c r="K57" s="24"/>
      <c r="N57"/>
      <c r="AB57" s="26"/>
      <c r="AC57" s="26"/>
    </row>
    <row r="58" spans="1:29" x14ac:dyDescent="0.2">
      <c r="A58" s="26"/>
      <c r="B58" s="145" t="s">
        <v>224</v>
      </c>
      <c r="C58" s="268"/>
      <c r="D58" s="146">
        <v>3496.52</v>
      </c>
      <c r="E58" s="147"/>
      <c r="F58" s="52"/>
      <c r="G58" s="32"/>
      <c r="H58" s="24"/>
      <c r="I58" s="32"/>
      <c r="J58" s="69"/>
      <c r="K58" s="24"/>
      <c r="N58"/>
      <c r="AB58" s="26"/>
      <c r="AC58" s="26"/>
    </row>
    <row r="59" spans="1:29" x14ac:dyDescent="0.2">
      <c r="A59" s="26"/>
      <c r="B59" s="145" t="s">
        <v>57</v>
      </c>
      <c r="C59" s="268"/>
      <c r="D59" s="146"/>
      <c r="E59" s="148"/>
      <c r="F59" s="52"/>
      <c r="G59" s="32"/>
      <c r="H59" s="24"/>
      <c r="I59" s="24"/>
      <c r="J59" s="24"/>
      <c r="K59" s="24"/>
      <c r="N59"/>
      <c r="AB59" s="26"/>
      <c r="AC59" s="26"/>
    </row>
    <row r="60" spans="1:29" x14ac:dyDescent="0.2">
      <c r="A60" s="26"/>
      <c r="B60" s="145" t="s">
        <v>16</v>
      </c>
      <c r="C60" s="268"/>
      <c r="D60" s="146">
        <v>1646.3314638009499</v>
      </c>
      <c r="E60" s="103"/>
      <c r="F60" s="52"/>
      <c r="G60" s="32"/>
      <c r="I60" s="32"/>
      <c r="J60" s="69"/>
      <c r="K60" s="24"/>
      <c r="N60"/>
      <c r="AB60" s="26"/>
      <c r="AC60" s="26"/>
    </row>
    <row r="61" spans="1:29" x14ac:dyDescent="0.2">
      <c r="A61" s="26"/>
      <c r="B61" s="145" t="s">
        <v>21</v>
      </c>
      <c r="C61" s="268"/>
      <c r="D61" s="146">
        <v>150</v>
      </c>
      <c r="E61" s="103"/>
      <c r="F61" s="52"/>
      <c r="G61" s="69"/>
      <c r="H61" s="24"/>
      <c r="I61" s="32"/>
      <c r="J61" s="69"/>
      <c r="K61" s="24"/>
      <c r="N61"/>
      <c r="AB61" s="26"/>
      <c r="AC61" s="26"/>
    </row>
    <row r="62" spans="1:29" x14ac:dyDescent="0.2">
      <c r="A62" s="26"/>
      <c r="B62" s="145" t="s">
        <v>27</v>
      </c>
      <c r="C62" s="268"/>
      <c r="D62" s="146">
        <v>90</v>
      </c>
      <c r="E62" s="103"/>
      <c r="F62" s="52"/>
      <c r="G62" s="69"/>
      <c r="H62" s="78"/>
      <c r="I62" s="32"/>
      <c r="J62" s="69"/>
      <c r="K62" s="26"/>
      <c r="N62"/>
      <c r="AB62" s="26"/>
      <c r="AC62" s="26"/>
    </row>
    <row r="63" spans="1:29" ht="15" x14ac:dyDescent="0.2">
      <c r="A63" s="26"/>
      <c r="B63" s="145" t="s">
        <v>14</v>
      </c>
      <c r="C63" s="268"/>
      <c r="D63" s="245">
        <f>110.94+22.05+26.4</f>
        <v>159.39000000000001</v>
      </c>
      <c r="E63" s="103"/>
      <c r="F63" s="52"/>
      <c r="G63" s="69"/>
      <c r="H63" s="78"/>
      <c r="I63" s="31"/>
      <c r="J63" s="79"/>
      <c r="K63" s="26"/>
      <c r="L63" s="246" t="s">
        <v>235</v>
      </c>
      <c r="M63" s="18"/>
      <c r="N63"/>
      <c r="AB63" s="26"/>
      <c r="AC63" s="26"/>
    </row>
    <row r="64" spans="1:29" x14ac:dyDescent="0.2">
      <c r="A64" s="26"/>
      <c r="B64" s="145" t="s">
        <v>166</v>
      </c>
      <c r="C64" s="268"/>
      <c r="D64" s="146">
        <v>250</v>
      </c>
      <c r="E64" s="103"/>
      <c r="F64" s="52"/>
      <c r="G64" s="32"/>
      <c r="H64" s="78"/>
      <c r="I64" s="32"/>
      <c r="J64" s="69"/>
      <c r="K64" s="26"/>
      <c r="N64"/>
      <c r="AB64" s="26"/>
      <c r="AC64" s="26"/>
    </row>
    <row r="65" spans="1:31" x14ac:dyDescent="0.2">
      <c r="A65" s="26"/>
      <c r="B65" s="145" t="s">
        <v>58</v>
      </c>
      <c r="C65" s="268"/>
      <c r="D65" s="146"/>
      <c r="E65" s="103"/>
      <c r="F65" s="144"/>
      <c r="G65" s="32"/>
      <c r="H65" s="78"/>
      <c r="I65" s="32"/>
      <c r="J65" s="79"/>
      <c r="K65" s="26"/>
      <c r="N65"/>
      <c r="AB65" s="26"/>
      <c r="AC65" s="26"/>
    </row>
    <row r="66" spans="1:31" ht="13.5" thickBot="1" x14ac:dyDescent="0.25">
      <c r="A66" s="26"/>
      <c r="B66" s="105"/>
      <c r="C66" s="269"/>
      <c r="D66" s="106"/>
      <c r="E66" s="107"/>
      <c r="F66" s="101"/>
      <c r="G66" s="80"/>
      <c r="H66" s="79"/>
      <c r="I66" s="26"/>
      <c r="J66" s="79"/>
      <c r="K66" s="26"/>
      <c r="N66"/>
      <c r="AB66" s="26"/>
      <c r="AC66" s="26"/>
    </row>
    <row r="67" spans="1:31" ht="17.25" thickTop="1" thickBot="1" x14ac:dyDescent="0.3">
      <c r="A67" s="26"/>
      <c r="B67" s="252" t="s">
        <v>67</v>
      </c>
      <c r="C67" s="270"/>
      <c r="D67" s="253"/>
      <c r="E67" s="254"/>
      <c r="F67" s="255"/>
      <c r="G67" s="26"/>
      <c r="H67" s="95"/>
      <c r="I67" s="26"/>
      <c r="J67" s="95"/>
      <c r="K67" s="26"/>
      <c r="N67"/>
      <c r="U67" s="96"/>
      <c r="AB67" s="26"/>
      <c r="AC67" s="26"/>
    </row>
    <row r="68" spans="1:31" ht="15.75" x14ac:dyDescent="0.25">
      <c r="A68" s="26"/>
      <c r="B68" s="127"/>
      <c r="C68" s="37"/>
      <c r="D68" s="37"/>
      <c r="E68" s="38"/>
      <c r="F68" s="128"/>
      <c r="G68" s="26"/>
      <c r="H68" s="95"/>
      <c r="I68" s="26"/>
      <c r="J68" s="95"/>
      <c r="K68" s="26"/>
      <c r="N68"/>
      <c r="U68" s="96"/>
      <c r="AB68" s="26"/>
      <c r="AC68" s="26"/>
    </row>
    <row r="69" spans="1:31" ht="16.5" thickBot="1" x14ac:dyDescent="0.3">
      <c r="A69" s="100"/>
      <c r="B69" s="125"/>
      <c r="C69" s="100"/>
      <c r="D69" s="100"/>
      <c r="E69" s="99"/>
      <c r="F69" s="126"/>
      <c r="G69" s="100"/>
      <c r="H69" s="110"/>
      <c r="I69" s="100"/>
      <c r="J69" s="110"/>
      <c r="K69" s="100"/>
      <c r="L69" s="98"/>
      <c r="M69" s="98"/>
      <c r="N69" s="97"/>
      <c r="O69" s="98"/>
      <c r="P69" s="98"/>
      <c r="Q69" s="98"/>
      <c r="R69" s="98"/>
      <c r="S69" s="98"/>
      <c r="T69" s="97"/>
      <c r="U69" s="97"/>
      <c r="V69" s="97"/>
      <c r="W69" s="97"/>
      <c r="X69" s="97"/>
      <c r="Y69" s="97"/>
      <c r="Z69" s="97"/>
      <c r="AA69" s="97"/>
      <c r="AB69" s="100"/>
      <c r="AC69" s="100"/>
      <c r="AD69" s="97"/>
      <c r="AE69" s="97"/>
    </row>
    <row r="70" spans="1:31" ht="15.75" hidden="1" outlineLevel="1" thickBot="1" x14ac:dyDescent="0.3">
      <c r="A70" s="100"/>
      <c r="B70" s="117" t="s">
        <v>68</v>
      </c>
      <c r="C70" s="118"/>
      <c r="D70" s="116"/>
      <c r="E70" s="111"/>
      <c r="F70" s="119"/>
      <c r="G70" s="100"/>
      <c r="H70" s="110"/>
      <c r="I70" s="100"/>
      <c r="J70" s="110"/>
      <c r="K70" s="100"/>
      <c r="L70" s="98"/>
      <c r="M70" s="98"/>
      <c r="N70" s="97"/>
      <c r="O70" s="98"/>
      <c r="P70" s="98"/>
      <c r="Q70" s="98"/>
      <c r="R70" s="98"/>
      <c r="S70" s="98"/>
      <c r="T70" s="97"/>
      <c r="U70" s="97"/>
      <c r="V70" s="97"/>
      <c r="W70" s="97"/>
      <c r="X70" s="97"/>
      <c r="Y70" s="97"/>
      <c r="Z70" s="97"/>
      <c r="AA70" s="97"/>
      <c r="AB70" s="100"/>
      <c r="AC70" s="100"/>
      <c r="AD70" s="97"/>
      <c r="AE70" s="97"/>
    </row>
    <row r="71" spans="1:31" hidden="1" outlineLevel="1" x14ac:dyDescent="0.2">
      <c r="A71" s="100"/>
      <c r="B71" s="120" t="s">
        <v>70</v>
      </c>
      <c r="C71" s="104"/>
      <c r="D71" s="113">
        <v>12457</v>
      </c>
      <c r="E71" s="102"/>
      <c r="F71" s="52">
        <f t="shared" ref="F71:F73" si="4">E71*D71</f>
        <v>0</v>
      </c>
      <c r="G71" s="99"/>
      <c r="H71" s="110"/>
      <c r="I71" s="100"/>
      <c r="J71" s="110"/>
      <c r="K71" s="100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</row>
    <row r="72" spans="1:31" hidden="1" outlineLevel="1" x14ac:dyDescent="0.2">
      <c r="A72" s="100"/>
      <c r="B72" s="121" t="s">
        <v>71</v>
      </c>
      <c r="C72" s="104"/>
      <c r="D72" s="112">
        <v>10856</v>
      </c>
      <c r="E72" s="103"/>
      <c r="F72" s="52">
        <f t="shared" si="4"/>
        <v>0</v>
      </c>
      <c r="G72" s="100"/>
      <c r="H72" s="110"/>
      <c r="I72" s="100"/>
      <c r="J72" s="110"/>
      <c r="K72" s="100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</row>
    <row r="73" spans="1:31" hidden="1" outlineLevel="1" x14ac:dyDescent="0.2">
      <c r="A73" s="100"/>
      <c r="B73" s="121" t="s">
        <v>72</v>
      </c>
      <c r="C73" s="104"/>
      <c r="D73" s="112">
        <v>885</v>
      </c>
      <c r="E73" s="103"/>
      <c r="F73" s="52">
        <f t="shared" si="4"/>
        <v>0</v>
      </c>
      <c r="G73" s="100"/>
      <c r="H73" s="110"/>
      <c r="I73" s="100"/>
      <c r="J73" s="110"/>
      <c r="K73" s="100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</row>
    <row r="74" spans="1:31" ht="13.5" hidden="1" outlineLevel="1" thickBot="1" x14ac:dyDescent="0.25">
      <c r="A74" s="100"/>
      <c r="B74" s="105"/>
      <c r="C74" s="106"/>
      <c r="D74" s="106"/>
      <c r="E74" s="107"/>
      <c r="F74" s="101">
        <f>SUM(F71:F73)</f>
        <v>0</v>
      </c>
      <c r="G74" s="100"/>
      <c r="H74" s="110"/>
      <c r="I74" s="100"/>
      <c r="J74" s="110"/>
      <c r="K74" s="100"/>
      <c r="L74" s="98"/>
      <c r="M74" s="98"/>
      <c r="N74" s="98"/>
      <c r="O74" s="98"/>
      <c r="P74" s="98"/>
      <c r="Q74" s="98"/>
      <c r="R74" s="98"/>
      <c r="S74" s="98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</row>
    <row r="75" spans="1:31" ht="17.25" hidden="1" outlineLevel="1" thickTop="1" thickBot="1" x14ac:dyDescent="0.3">
      <c r="A75" s="100"/>
      <c r="B75" s="108" t="s">
        <v>69</v>
      </c>
      <c r="C75" s="114"/>
      <c r="D75" s="114"/>
      <c r="E75" s="114"/>
      <c r="F75" s="115">
        <f>F67+F74</f>
        <v>0</v>
      </c>
      <c r="G75" s="100"/>
      <c r="H75" s="110"/>
      <c r="I75" s="97"/>
      <c r="J75" s="109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</row>
    <row r="76" spans="1:31" collapsed="1" x14ac:dyDescent="0.2">
      <c r="A76" s="26"/>
      <c r="B76" s="93" t="s">
        <v>225</v>
      </c>
      <c r="C76" s="26">
        <v>0.5</v>
      </c>
      <c r="D76" s="26"/>
      <c r="E76" s="24"/>
      <c r="F76" s="25"/>
      <c r="G76" s="26"/>
      <c r="H76" s="212"/>
      <c r="I76" s="214" t="e">
        <f>IF('Calc.'!U128&gt;'Calc.'!V128,'Calc.'!U130,'Calc.'!V130)</f>
        <v>#DIV/0!</v>
      </c>
      <c r="J76" s="14" t="s">
        <v>46</v>
      </c>
      <c r="K76" s="13"/>
      <c r="L76"/>
      <c r="M76"/>
      <c r="N76"/>
      <c r="Q76"/>
      <c r="R76"/>
      <c r="S76"/>
      <c r="U76"/>
    </row>
    <row r="77" spans="1:31" ht="13.5" thickBot="1" x14ac:dyDescent="0.25">
      <c r="A77" s="26"/>
      <c r="B77" s="26" t="s">
        <v>219</v>
      </c>
      <c r="C77" s="26">
        <v>0.25</v>
      </c>
      <c r="D77" s="26"/>
      <c r="E77" s="24"/>
      <c r="F77" s="25"/>
      <c r="G77" s="26"/>
      <c r="H77" s="212"/>
      <c r="I77" s="215" t="str">
        <f>IF('Calc.'!U128&gt;'Calc.'!V128,'Calc.'!U129,'Calc.'!V129)</f>
        <v>Service</v>
      </c>
      <c r="J77" s="213"/>
      <c r="K77" s="13"/>
      <c r="L77"/>
      <c r="M77"/>
      <c r="N77"/>
      <c r="Q77"/>
      <c r="R77"/>
      <c r="S77"/>
      <c r="U77"/>
    </row>
    <row r="78" spans="1:31" x14ac:dyDescent="0.2">
      <c r="A78" s="26"/>
      <c r="B78" s="26" t="s">
        <v>223</v>
      </c>
      <c r="C78" s="26">
        <v>0.5</v>
      </c>
      <c r="D78" s="26"/>
      <c r="E78" s="24"/>
      <c r="F78" s="25"/>
      <c r="G78" s="26"/>
      <c r="H78" s="212"/>
      <c r="I78" s="247"/>
      <c r="J78" s="213"/>
      <c r="K78" s="13"/>
      <c r="L78"/>
      <c r="M78"/>
      <c r="N78"/>
      <c r="Q78"/>
      <c r="R78"/>
      <c r="S78"/>
      <c r="U78"/>
    </row>
    <row r="79" spans="1:31" x14ac:dyDescent="0.2">
      <c r="A79" s="26"/>
      <c r="B79" s="93" t="s">
        <v>226</v>
      </c>
      <c r="C79" s="26">
        <v>0.5</v>
      </c>
      <c r="D79" s="26"/>
      <c r="E79" s="24"/>
      <c r="F79" s="25"/>
      <c r="G79" s="26"/>
      <c r="H79" s="212"/>
      <c r="I79" s="247"/>
      <c r="J79" s="213"/>
      <c r="K79" s="13"/>
      <c r="L79"/>
      <c r="M79"/>
      <c r="N79"/>
      <c r="Q79"/>
      <c r="R79"/>
      <c r="S79"/>
      <c r="U79"/>
    </row>
    <row r="80" spans="1:31" x14ac:dyDescent="0.2">
      <c r="B80" s="93" t="s">
        <v>219</v>
      </c>
      <c r="C80" s="26">
        <v>0.25</v>
      </c>
      <c r="D80" s="26"/>
      <c r="E80" s="24"/>
      <c r="F80" s="24"/>
    </row>
    <row r="81" spans="2:6" x14ac:dyDescent="0.2">
      <c r="B81" s="26" t="s">
        <v>220</v>
      </c>
      <c r="C81" s="26">
        <v>0.5</v>
      </c>
      <c r="D81" s="26"/>
      <c r="E81" s="24"/>
      <c r="F81" s="24"/>
    </row>
    <row r="82" spans="2:6" x14ac:dyDescent="0.2">
      <c r="B82" s="26" t="s">
        <v>221</v>
      </c>
      <c r="C82" s="26">
        <v>0.25</v>
      </c>
      <c r="D82" s="26"/>
      <c r="E82" s="24"/>
      <c r="F82" s="24"/>
    </row>
    <row r="83" spans="2:6" x14ac:dyDescent="0.2">
      <c r="B83" s="26" t="s">
        <v>222</v>
      </c>
      <c r="C83" s="26">
        <v>2</v>
      </c>
      <c r="D83" s="26"/>
      <c r="E83" s="24"/>
      <c r="F83" s="24"/>
    </row>
    <row r="84" spans="2:6" x14ac:dyDescent="0.2">
      <c r="B84" s="26"/>
      <c r="C84" s="26"/>
      <c r="D84" s="26"/>
      <c r="E84" s="24"/>
      <c r="F84" s="24"/>
    </row>
    <row r="85" spans="2:6" x14ac:dyDescent="0.2">
      <c r="B85" s="26"/>
      <c r="C85" s="26"/>
      <c r="D85" s="26"/>
      <c r="E85" s="24"/>
      <c r="F85" s="24"/>
    </row>
    <row r="86" spans="2:6" x14ac:dyDescent="0.2">
      <c r="B86" s="26"/>
      <c r="C86" s="26"/>
      <c r="D86" s="26"/>
      <c r="E86" s="24"/>
      <c r="F86" s="24"/>
    </row>
    <row r="87" spans="2:6" x14ac:dyDescent="0.2">
      <c r="B87" s="26"/>
      <c r="C87" s="26"/>
      <c r="D87" s="26"/>
      <c r="E87" s="24"/>
      <c r="F87" s="24"/>
    </row>
    <row r="88" spans="2:6" x14ac:dyDescent="0.2">
      <c r="B88" s="26"/>
      <c r="C88" s="26"/>
      <c r="D88" s="26"/>
      <c r="E88" s="24"/>
      <c r="F88" s="24"/>
    </row>
    <row r="89" spans="2:6" x14ac:dyDescent="0.2">
      <c r="B89" s="26"/>
      <c r="C89" s="26"/>
      <c r="D89" s="26"/>
      <c r="E89" s="24"/>
      <c r="F89" s="24"/>
    </row>
    <row r="90" spans="2:6" x14ac:dyDescent="0.2">
      <c r="B90" s="26"/>
      <c r="C90" s="26"/>
      <c r="D90" s="26"/>
      <c r="E90" s="24"/>
      <c r="F90" s="24"/>
    </row>
    <row r="91" spans="2:6" x14ac:dyDescent="0.2">
      <c r="B91" s="26"/>
      <c r="C91" s="26"/>
      <c r="D91" s="26"/>
      <c r="E91" s="24"/>
      <c r="F91" s="24"/>
    </row>
    <row r="92" spans="2:6" x14ac:dyDescent="0.2">
      <c r="B92" s="26"/>
      <c r="C92" s="26"/>
      <c r="D92" s="26"/>
      <c r="E92" s="24"/>
      <c r="F92" s="24"/>
    </row>
    <row r="93" spans="2:6" x14ac:dyDescent="0.2">
      <c r="B93" s="26"/>
      <c r="C93" s="26"/>
      <c r="D93" s="26"/>
      <c r="E93" s="24"/>
      <c r="F93" s="24"/>
    </row>
    <row r="94" spans="2:6" x14ac:dyDescent="0.2">
      <c r="B94" s="26"/>
      <c r="C94" s="26"/>
      <c r="D94" s="26"/>
      <c r="E94" s="24"/>
      <c r="F94" s="24"/>
    </row>
    <row r="95" spans="2:6" x14ac:dyDescent="0.2">
      <c r="B95" s="26"/>
      <c r="C95" s="26"/>
      <c r="D95" s="26"/>
      <c r="E95" s="24"/>
      <c r="F95" s="24"/>
    </row>
    <row r="96" spans="2:6" x14ac:dyDescent="0.2">
      <c r="B96" s="26"/>
      <c r="C96" s="26"/>
      <c r="D96" s="26"/>
      <c r="E96" s="24"/>
      <c r="F96" s="24"/>
    </row>
    <row r="97" spans="2:6" x14ac:dyDescent="0.2">
      <c r="B97" s="26"/>
      <c r="C97" s="26"/>
      <c r="D97" s="26"/>
      <c r="E97" s="24"/>
      <c r="F97" s="24"/>
    </row>
    <row r="98" spans="2:6" x14ac:dyDescent="0.2">
      <c r="B98" s="26"/>
      <c r="C98" s="26"/>
      <c r="D98" s="26"/>
      <c r="E98" s="24"/>
      <c r="F98" s="24"/>
    </row>
    <row r="99" spans="2:6" x14ac:dyDescent="0.2">
      <c r="B99" s="26"/>
      <c r="C99" s="26"/>
      <c r="D99" s="26"/>
      <c r="E99" s="24"/>
      <c r="F99" s="24"/>
    </row>
    <row r="100" spans="2:6" x14ac:dyDescent="0.2">
      <c r="B100" s="26"/>
      <c r="C100" s="26"/>
      <c r="D100" s="26"/>
      <c r="E100" s="24"/>
      <c r="F100" s="24"/>
    </row>
    <row r="101" spans="2:6" x14ac:dyDescent="0.2">
      <c r="B101" s="26"/>
      <c r="C101" s="26"/>
      <c r="D101" s="26"/>
      <c r="E101" s="24"/>
      <c r="F101" s="24"/>
    </row>
    <row r="102" spans="2:6" x14ac:dyDescent="0.2">
      <c r="B102" s="26"/>
      <c r="C102" s="26"/>
      <c r="D102" s="26"/>
      <c r="E102" s="24"/>
      <c r="F102" s="24"/>
    </row>
    <row r="103" spans="2:6" x14ac:dyDescent="0.2">
      <c r="B103" s="26"/>
      <c r="C103" s="26"/>
      <c r="D103" s="26"/>
      <c r="E103" s="24"/>
      <c r="F103" s="24"/>
    </row>
    <row r="104" spans="2:6" x14ac:dyDescent="0.2">
      <c r="B104" s="26"/>
      <c r="C104" s="26"/>
      <c r="D104" s="26"/>
      <c r="E104" s="24"/>
      <c r="F104" s="24"/>
    </row>
    <row r="105" spans="2:6" x14ac:dyDescent="0.2">
      <c r="B105" s="26"/>
      <c r="C105" s="26"/>
      <c r="D105" s="26"/>
      <c r="E105" s="24"/>
      <c r="F105" s="24"/>
    </row>
    <row r="106" spans="2:6" x14ac:dyDescent="0.2">
      <c r="B106" s="26"/>
      <c r="C106" s="26"/>
      <c r="D106" s="26"/>
      <c r="E106" s="24"/>
      <c r="F106" s="24"/>
    </row>
    <row r="107" spans="2:6" x14ac:dyDescent="0.2">
      <c r="B107" s="26"/>
      <c r="C107" s="26"/>
      <c r="D107" s="26"/>
      <c r="E107" s="24"/>
      <c r="F107" s="24"/>
    </row>
    <row r="108" spans="2:6" x14ac:dyDescent="0.2">
      <c r="B108" s="26"/>
      <c r="C108" s="26"/>
      <c r="D108" s="26"/>
      <c r="E108" s="24"/>
      <c r="F108" s="24"/>
    </row>
    <row r="109" spans="2:6" x14ac:dyDescent="0.2">
      <c r="B109" s="26"/>
      <c r="C109" s="26"/>
      <c r="D109" s="26"/>
      <c r="E109" s="24"/>
      <c r="F109" s="24"/>
    </row>
    <row r="110" spans="2:6" x14ac:dyDescent="0.2">
      <c r="B110" s="26"/>
      <c r="C110" s="26"/>
      <c r="D110" s="26"/>
      <c r="E110" s="24"/>
      <c r="F110" s="24"/>
    </row>
  </sheetData>
  <sheetProtection formatCells="0" formatColumns="0"/>
  <mergeCells count="1">
    <mergeCell ref="B2:F2"/>
  </mergeCells>
  <phoneticPr fontId="6" type="noConversion"/>
  <printOptions gridLines="1"/>
  <pageMargins left="0.98425196850393704" right="0.78740157480314965" top="0.98425196850393704" bottom="0.98425196850393704" header="0.51181102362204722" footer="0.51181102362204722"/>
  <pageSetup paperSize="9" scale="7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J16" sqref="J16:J17"/>
    </sheetView>
  </sheetViews>
  <sheetFormatPr defaultColWidth="9.140625" defaultRowHeight="12.75" x14ac:dyDescent="0.2"/>
  <cols>
    <col min="1" max="1" width="13.42578125" customWidth="1"/>
    <col min="2" max="2" width="10.42578125" customWidth="1"/>
  </cols>
  <sheetData>
    <row r="1" spans="1:5" x14ac:dyDescent="0.2">
      <c r="D1" s="10"/>
      <c r="E1" s="11"/>
    </row>
    <row r="2" spans="1:5" x14ac:dyDescent="0.2">
      <c r="B2" t="s">
        <v>37</v>
      </c>
      <c r="D2" s="2"/>
      <c r="E2" s="11"/>
    </row>
    <row r="3" spans="1:5" x14ac:dyDescent="0.2">
      <c r="A3" s="2" t="s">
        <v>33</v>
      </c>
      <c r="B3">
        <f>'TW - ASML AVR'!E7</f>
        <v>0</v>
      </c>
      <c r="C3" s="8" t="e">
        <f>'Calc.'!#REF!</f>
        <v>#REF!</v>
      </c>
      <c r="D3" s="12"/>
      <c r="E3" s="11"/>
    </row>
    <row r="4" spans="1:5" x14ac:dyDescent="0.2">
      <c r="A4" s="2"/>
      <c r="C4" s="11"/>
      <c r="D4" s="12"/>
      <c r="E4" s="11"/>
    </row>
    <row r="5" spans="1:5" x14ac:dyDescent="0.2">
      <c r="A5" t="s">
        <v>34</v>
      </c>
      <c r="B5">
        <f>'TW - ASML AVR'!E8</f>
        <v>0</v>
      </c>
      <c r="C5" s="9" t="e">
        <f>'Calc.'!#REF!</f>
        <v>#REF!</v>
      </c>
      <c r="D5" s="12"/>
      <c r="E5" s="11"/>
    </row>
    <row r="6" spans="1:5" x14ac:dyDescent="0.2">
      <c r="C6" s="17"/>
      <c r="E6" s="11"/>
    </row>
    <row r="7" spans="1:5" x14ac:dyDescent="0.2">
      <c r="A7" t="s">
        <v>35</v>
      </c>
      <c r="B7">
        <f>'TW - ASML AVR'!E9</f>
        <v>0</v>
      </c>
      <c r="C7" s="9" t="e">
        <f>'Calc.'!#REF!</f>
        <v>#REF!</v>
      </c>
      <c r="D7" s="15"/>
    </row>
    <row r="8" spans="1:5" x14ac:dyDescent="0.2">
      <c r="D8" s="1"/>
      <c r="E8" s="1"/>
    </row>
    <row r="9" spans="1:5" x14ac:dyDescent="0.2">
      <c r="A9" s="13" t="s">
        <v>36</v>
      </c>
      <c r="B9" s="13"/>
      <c r="C9" s="14" t="e">
        <f>SUM(C3:C7)</f>
        <v>#REF!</v>
      </c>
    </row>
    <row r="10" spans="1:5" x14ac:dyDescent="0.2">
      <c r="A10" s="1"/>
      <c r="B10" s="1"/>
      <c r="C10" s="1"/>
    </row>
  </sheetData>
  <sheetProtection password="EB2C" sheet="1" selectLockedCells="1" selectUnlockedCells="1"/>
  <phoneticPr fontId="2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workbookViewId="0">
      <selection activeCell="B37" sqref="B37"/>
    </sheetView>
  </sheetViews>
  <sheetFormatPr defaultColWidth="9.140625" defaultRowHeight="12.75" x14ac:dyDescent="0.2"/>
  <cols>
    <col min="1" max="1" width="9.140625" customWidth="1"/>
    <col min="2" max="2" width="23" customWidth="1"/>
    <col min="3" max="3" width="38.28515625" customWidth="1"/>
    <col min="4" max="4" width="17.140625" customWidth="1"/>
    <col min="12" max="12" width="2.5703125" bestFit="1" customWidth="1"/>
    <col min="13" max="13" width="10.140625" bestFit="1" customWidth="1"/>
    <col min="14" max="14" width="3" bestFit="1" customWidth="1"/>
    <col min="15" max="15" width="13.28515625" bestFit="1" customWidth="1"/>
    <col min="16" max="16" width="10.42578125" bestFit="1" customWidth="1"/>
    <col min="17" max="17" width="5.5703125" bestFit="1" customWidth="1"/>
    <col min="18" max="18" width="10.140625" bestFit="1" customWidth="1"/>
  </cols>
  <sheetData>
    <row r="1" spans="1:18" x14ac:dyDescent="0.2">
      <c r="A1" s="1" t="s">
        <v>30</v>
      </c>
      <c r="B1" s="1" t="s">
        <v>77</v>
      </c>
      <c r="C1" s="1" t="s">
        <v>28</v>
      </c>
      <c r="D1" s="1" t="s">
        <v>29</v>
      </c>
    </row>
    <row r="2" spans="1:18" x14ac:dyDescent="0.2">
      <c r="A2" s="1" t="s">
        <v>31</v>
      </c>
      <c r="C2" s="129"/>
      <c r="D2" s="130"/>
      <c r="L2" s="1"/>
      <c r="M2" s="16"/>
      <c r="N2" s="18"/>
      <c r="O2" s="1"/>
    </row>
    <row r="3" spans="1:18" ht="18" x14ac:dyDescent="0.25">
      <c r="A3" s="1" t="s">
        <v>32</v>
      </c>
      <c r="C3" s="129"/>
      <c r="L3" s="1"/>
      <c r="M3" s="16"/>
      <c r="N3" s="277" t="s">
        <v>79</v>
      </c>
      <c r="O3" s="277"/>
      <c r="P3" s="277"/>
      <c r="Q3" s="277"/>
      <c r="R3" s="277"/>
    </row>
    <row r="4" spans="1:18" x14ac:dyDescent="0.2">
      <c r="A4" s="1" t="s">
        <v>38</v>
      </c>
      <c r="L4" s="1"/>
      <c r="M4" s="16"/>
      <c r="N4" s="18"/>
      <c r="O4" s="1"/>
    </row>
    <row r="5" spans="1:18" x14ac:dyDescent="0.2">
      <c r="A5" s="1" t="s">
        <v>39</v>
      </c>
      <c r="L5" s="1"/>
      <c r="M5" s="16"/>
      <c r="N5" s="138" t="s">
        <v>40</v>
      </c>
      <c r="O5" s="131" t="s">
        <v>80</v>
      </c>
      <c r="P5" s="131" t="s">
        <v>81</v>
      </c>
      <c r="Q5" s="131" t="s">
        <v>82</v>
      </c>
      <c r="R5" s="132" t="s">
        <v>83</v>
      </c>
    </row>
    <row r="6" spans="1:18" ht="89.25" x14ac:dyDescent="0.2">
      <c r="A6" s="23" t="s">
        <v>43</v>
      </c>
      <c r="L6" s="23"/>
      <c r="M6" s="16"/>
      <c r="N6" s="139">
        <v>1</v>
      </c>
      <c r="O6" s="133" t="s">
        <v>84</v>
      </c>
      <c r="P6" s="133"/>
      <c r="Q6" s="130" t="s">
        <v>78</v>
      </c>
      <c r="R6" s="135">
        <v>1148</v>
      </c>
    </row>
    <row r="7" spans="1:18" ht="63.75" x14ac:dyDescent="0.2">
      <c r="A7" s="1" t="s">
        <v>44</v>
      </c>
      <c r="L7" s="1"/>
      <c r="M7" s="16"/>
      <c r="N7" s="139">
        <v>2</v>
      </c>
      <c r="O7" s="133" t="s">
        <v>85</v>
      </c>
      <c r="P7" s="133" t="s">
        <v>86</v>
      </c>
      <c r="Q7" s="130" t="s">
        <v>87</v>
      </c>
      <c r="R7" s="135">
        <v>1148</v>
      </c>
    </row>
    <row r="8" spans="1:18" ht="51" x14ac:dyDescent="0.2">
      <c r="A8" s="1" t="s">
        <v>53</v>
      </c>
      <c r="L8" s="1"/>
      <c r="M8" s="16"/>
      <c r="N8" s="139">
        <v>3</v>
      </c>
      <c r="O8" s="133" t="s">
        <v>88</v>
      </c>
      <c r="P8" s="133"/>
      <c r="Q8" s="130" t="s">
        <v>89</v>
      </c>
      <c r="R8" s="135"/>
    </row>
    <row r="9" spans="1:18" x14ac:dyDescent="0.2">
      <c r="A9" s="1" t="s">
        <v>56</v>
      </c>
      <c r="B9" s="141">
        <v>41961</v>
      </c>
      <c r="C9" s="133" t="s">
        <v>90</v>
      </c>
      <c r="D9" t="s">
        <v>92</v>
      </c>
      <c r="L9" s="1"/>
      <c r="M9" s="16"/>
      <c r="N9" s="139">
        <v>4</v>
      </c>
      <c r="O9" s="133"/>
      <c r="P9" s="133"/>
      <c r="Q9" s="130"/>
      <c r="R9" s="135"/>
    </row>
    <row r="10" spans="1:18" x14ac:dyDescent="0.2">
      <c r="A10" s="89" t="s">
        <v>60</v>
      </c>
      <c r="B10" s="16">
        <v>43258</v>
      </c>
      <c r="C10" t="s">
        <v>93</v>
      </c>
      <c r="D10" t="s">
        <v>92</v>
      </c>
      <c r="L10" s="89"/>
      <c r="M10" s="1"/>
      <c r="N10" s="139">
        <v>5</v>
      </c>
      <c r="O10" s="133"/>
      <c r="P10" s="133"/>
      <c r="Q10" s="130"/>
      <c r="R10" s="135"/>
    </row>
    <row r="11" spans="1:18" x14ac:dyDescent="0.2">
      <c r="A11" s="89" t="s">
        <v>61</v>
      </c>
      <c r="L11" s="89"/>
      <c r="M11" s="1"/>
      <c r="N11" s="139">
        <v>6</v>
      </c>
      <c r="O11" s="133"/>
      <c r="P11" s="133"/>
      <c r="Q11" s="130"/>
      <c r="R11" s="135"/>
    </row>
    <row r="12" spans="1:18" ht="25.5" x14ac:dyDescent="0.2">
      <c r="A12" s="89" t="s">
        <v>62</v>
      </c>
      <c r="L12" s="89"/>
      <c r="M12" s="16"/>
      <c r="N12" s="139">
        <v>7</v>
      </c>
      <c r="O12" s="133" t="s">
        <v>90</v>
      </c>
      <c r="P12" s="133"/>
      <c r="Q12" s="130" t="s">
        <v>91</v>
      </c>
      <c r="R12" s="141">
        <v>41961</v>
      </c>
    </row>
    <row r="13" spans="1:18" x14ac:dyDescent="0.2">
      <c r="A13" s="89" t="s">
        <v>64</v>
      </c>
      <c r="L13" s="89"/>
      <c r="M13" s="16"/>
      <c r="N13" s="139">
        <v>8</v>
      </c>
      <c r="O13" s="133"/>
      <c r="P13" s="133"/>
      <c r="Q13" s="130"/>
      <c r="R13" s="135"/>
    </row>
    <row r="14" spans="1:18" x14ac:dyDescent="0.2">
      <c r="A14" s="1" t="s">
        <v>65</v>
      </c>
      <c r="L14" s="1"/>
      <c r="M14" s="16"/>
      <c r="N14" s="139">
        <v>9</v>
      </c>
      <c r="O14" s="133"/>
      <c r="P14" s="133"/>
      <c r="Q14" s="130"/>
      <c r="R14" s="135"/>
    </row>
    <row r="15" spans="1:18" x14ac:dyDescent="0.2">
      <c r="A15" s="1" t="s">
        <v>66</v>
      </c>
      <c r="L15" s="1"/>
      <c r="M15" s="94"/>
      <c r="N15" s="139">
        <v>10</v>
      </c>
      <c r="O15" s="133"/>
      <c r="P15" s="133"/>
      <c r="Q15" s="130"/>
      <c r="R15" s="135"/>
    </row>
    <row r="16" spans="1:18" x14ac:dyDescent="0.2">
      <c r="A16" s="1" t="s">
        <v>73</v>
      </c>
      <c r="L16" s="1"/>
      <c r="M16" s="94"/>
      <c r="N16" s="139"/>
      <c r="O16" s="133"/>
      <c r="P16" s="133"/>
      <c r="Q16" s="130"/>
      <c r="R16" s="135"/>
    </row>
    <row r="17" spans="1:18" x14ac:dyDescent="0.2">
      <c r="A17" s="1" t="s">
        <v>74</v>
      </c>
      <c r="L17" s="1"/>
      <c r="M17" s="94"/>
      <c r="N17" s="139"/>
      <c r="O17" s="133"/>
      <c r="P17" s="133"/>
      <c r="Q17" s="130"/>
      <c r="R17" s="135"/>
    </row>
    <row r="18" spans="1:18" x14ac:dyDescent="0.2">
      <c r="A18" s="1" t="s">
        <v>75</v>
      </c>
      <c r="L18" s="1"/>
      <c r="M18" s="94"/>
      <c r="N18" s="140"/>
      <c r="O18" s="134"/>
      <c r="P18" s="134"/>
      <c r="Q18" s="136"/>
      <c r="R18" s="137"/>
    </row>
    <row r="19" spans="1:18" x14ac:dyDescent="0.2">
      <c r="A19" s="1" t="s">
        <v>181</v>
      </c>
      <c r="B19" s="94">
        <v>43348</v>
      </c>
      <c r="C19" s="149" t="s">
        <v>182</v>
      </c>
      <c r="D19" t="s">
        <v>92</v>
      </c>
    </row>
    <row r="20" spans="1:18" x14ac:dyDescent="0.2">
      <c r="A20" s="1" t="s">
        <v>185</v>
      </c>
      <c r="B20" s="94">
        <v>44182</v>
      </c>
      <c r="C20" s="149" t="s">
        <v>214</v>
      </c>
      <c r="D20" t="s">
        <v>92</v>
      </c>
    </row>
  </sheetData>
  <sheetProtection algorithmName="SHA-512" hashValue="AlgAlgFwOf6R/GwKZLIGPiK3d8Fc9utwlxEZrEeYJHxQdt3TWr1w3ve9+xagfndMshh2sj222vuDQhaTYbzZww==" saltValue="w0UGK+7zfRJCCrfx/6kLdg==" spinCount="100000" sheet="1" objects="1" scenarios="1"/>
  <mergeCells count="1">
    <mergeCell ref="N3:R3"/>
  </mergeCells>
  <phoneticPr fontId="23" type="noConversion"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130"/>
  <sheetViews>
    <sheetView topLeftCell="A106" zoomScaleNormal="100" workbookViewId="0">
      <selection activeCell="H47" sqref="H47"/>
    </sheetView>
  </sheetViews>
  <sheetFormatPr defaultColWidth="9.140625" defaultRowHeight="12.75" x14ac:dyDescent="0.2"/>
  <cols>
    <col min="1" max="1" width="31.7109375" customWidth="1"/>
    <col min="2" max="2" width="34" customWidth="1"/>
    <col min="3" max="3" width="17.5703125" customWidth="1"/>
    <col min="4" max="5" width="13.5703125" customWidth="1"/>
    <col min="6" max="6" width="12.42578125" customWidth="1"/>
    <col min="7" max="7" width="13.42578125" customWidth="1"/>
    <col min="8" max="8" width="11.42578125" customWidth="1"/>
    <col min="9" max="9" width="23.5703125" bestFit="1" customWidth="1"/>
    <col min="10" max="10" width="16.42578125" customWidth="1"/>
    <col min="11" max="11" width="17.28515625" customWidth="1"/>
    <col min="12" max="12" width="12.5703125" customWidth="1"/>
    <col min="13" max="13" width="15.140625" customWidth="1"/>
    <col min="14" max="14" width="20.5703125" customWidth="1"/>
    <col min="15" max="15" width="38.28515625" bestFit="1" customWidth="1"/>
    <col min="16" max="16" width="11.28515625" customWidth="1"/>
    <col min="18" max="18" width="9.42578125" bestFit="1" customWidth="1"/>
    <col min="19" max="20" width="9.140625" style="161"/>
    <col min="21" max="21" width="13.5703125" style="164" customWidth="1"/>
    <col min="22" max="22" width="14.7109375" style="164" customWidth="1"/>
    <col min="23" max="23" width="12" customWidth="1"/>
  </cols>
  <sheetData>
    <row r="1" spans="1:23" ht="15" x14ac:dyDescent="0.25">
      <c r="A1" s="150"/>
      <c r="B1" s="150"/>
      <c r="C1" s="151"/>
      <c r="D1" s="150"/>
      <c r="E1" s="150"/>
      <c r="F1" s="150"/>
      <c r="G1" s="152"/>
      <c r="H1" s="153" t="s">
        <v>97</v>
      </c>
      <c r="I1" s="154" t="s">
        <v>98</v>
      </c>
      <c r="J1" s="150"/>
      <c r="K1" s="150" t="s">
        <v>99</v>
      </c>
      <c r="L1" s="150">
        <v>90</v>
      </c>
      <c r="O1" s="155" t="s">
        <v>103</v>
      </c>
      <c r="P1" s="156" t="s">
        <v>116</v>
      </c>
      <c r="Q1" s="156" t="s">
        <v>117</v>
      </c>
      <c r="S1" s="157" t="s">
        <v>108</v>
      </c>
      <c r="T1" s="157" t="s">
        <v>45</v>
      </c>
      <c r="U1" s="158" t="s">
        <v>108</v>
      </c>
      <c r="V1" s="158" t="s">
        <v>45</v>
      </c>
      <c r="W1" s="155" t="s">
        <v>118</v>
      </c>
    </row>
    <row r="2" spans="1:23" ht="15" x14ac:dyDescent="0.25">
      <c r="A2" s="159" t="s">
        <v>100</v>
      </c>
      <c r="B2" s="150"/>
      <c r="C2" s="151"/>
      <c r="D2" s="150"/>
      <c r="E2" s="150"/>
      <c r="F2" s="150"/>
      <c r="G2" s="152"/>
      <c r="H2" s="150">
        <v>4.75</v>
      </c>
      <c r="I2" s="160">
        <v>880</v>
      </c>
      <c r="J2" s="150"/>
      <c r="K2" s="150" t="s">
        <v>101</v>
      </c>
      <c r="L2" s="150">
        <v>1.4</v>
      </c>
      <c r="O2" t="str">
        <f>A2</f>
        <v>Bänder inkl. Seals</v>
      </c>
      <c r="P2" s="9">
        <f>100/H6*H4</f>
        <v>46.436760294792023</v>
      </c>
      <c r="Q2" s="9">
        <f>100/H6*H5</f>
        <v>53.56323970520797</v>
      </c>
      <c r="R2" s="155">
        <f>Q2+P2</f>
        <v>100</v>
      </c>
      <c r="S2" s="161">
        <f>IF('TW - ASML AVR'!E13&lt;&gt;0,'Calc.'!P2,0)</f>
        <v>0</v>
      </c>
      <c r="T2" s="161">
        <f>IF('TW - ASML AVR'!E13&lt;&gt;0,'Calc.'!Q2,0)</f>
        <v>0</v>
      </c>
      <c r="U2" s="162">
        <f>S2*H6/100</f>
        <v>0</v>
      </c>
      <c r="V2" s="162">
        <f>T2*H6/100</f>
        <v>0</v>
      </c>
      <c r="W2" s="163">
        <f>V2+U2</f>
        <v>0</v>
      </c>
    </row>
    <row r="3" spans="1:23" ht="15" x14ac:dyDescent="0.25">
      <c r="A3" s="278" t="s">
        <v>102</v>
      </c>
      <c r="B3" s="279"/>
      <c r="C3" s="279"/>
      <c r="D3" s="279"/>
      <c r="E3" s="279"/>
      <c r="F3" s="151"/>
      <c r="G3" s="152"/>
      <c r="H3" s="150"/>
      <c r="I3" s="160"/>
      <c r="J3" s="150"/>
      <c r="K3" s="211" t="s">
        <v>183</v>
      </c>
      <c r="L3" s="211" t="s">
        <v>184</v>
      </c>
      <c r="P3" s="9"/>
      <c r="Q3" s="9"/>
    </row>
    <row r="4" spans="1:23" ht="15" x14ac:dyDescent="0.25">
      <c r="A4" s="165" t="s">
        <v>103</v>
      </c>
      <c r="B4" s="150" t="s">
        <v>104</v>
      </c>
      <c r="C4" s="151" t="s">
        <v>105</v>
      </c>
      <c r="D4" s="150" t="s">
        <v>106</v>
      </c>
      <c r="E4" s="150" t="s">
        <v>107</v>
      </c>
      <c r="F4" s="150"/>
      <c r="G4" s="152" t="s">
        <v>108</v>
      </c>
      <c r="H4" s="166">
        <f>SUM(E5:E7)*$L$2</f>
        <v>370.62200000000001</v>
      </c>
      <c r="I4" s="160"/>
      <c r="J4" s="150"/>
      <c r="K4" s="150"/>
      <c r="L4" s="150"/>
      <c r="P4" s="9"/>
      <c r="Q4" s="9"/>
    </row>
    <row r="5" spans="1:23" ht="15" x14ac:dyDescent="0.25">
      <c r="A5" s="167">
        <v>602417</v>
      </c>
      <c r="B5" s="150" t="s">
        <v>109</v>
      </c>
      <c r="C5" s="151">
        <v>4</v>
      </c>
      <c r="D5" s="166">
        <v>54.78</v>
      </c>
      <c r="E5" s="166">
        <f>D5*C5</f>
        <v>219.12</v>
      </c>
      <c r="F5" s="166"/>
      <c r="G5" s="152" t="s">
        <v>47</v>
      </c>
      <c r="H5" s="166">
        <f>H2*$L$1</f>
        <v>427.5</v>
      </c>
      <c r="I5" s="160"/>
      <c r="J5" s="150"/>
      <c r="K5" s="150"/>
      <c r="L5" s="150"/>
      <c r="P5" s="9"/>
      <c r="Q5" s="9"/>
    </row>
    <row r="6" spans="1:23" ht="15" x14ac:dyDescent="0.25">
      <c r="A6" s="150" t="s">
        <v>110</v>
      </c>
      <c r="B6" s="150" t="s">
        <v>111</v>
      </c>
      <c r="C6" s="151">
        <v>2</v>
      </c>
      <c r="D6" s="166">
        <v>14.99</v>
      </c>
      <c r="E6" s="166">
        <f t="shared" ref="E6:E7" si="0">D6*C6</f>
        <v>29.98</v>
      </c>
      <c r="F6" s="166"/>
      <c r="G6" s="152" t="s">
        <v>112</v>
      </c>
      <c r="H6" s="166">
        <f>SUM(H4:H5)</f>
        <v>798.12200000000007</v>
      </c>
      <c r="I6" s="160"/>
      <c r="J6" s="150"/>
      <c r="K6" s="150"/>
      <c r="L6" s="150"/>
      <c r="P6" s="9"/>
      <c r="Q6" s="9"/>
    </row>
    <row r="7" spans="1:23" ht="15" x14ac:dyDescent="0.25">
      <c r="A7" s="150" t="s">
        <v>113</v>
      </c>
      <c r="B7" s="150" t="s">
        <v>114</v>
      </c>
      <c r="C7" s="151">
        <v>1</v>
      </c>
      <c r="D7" s="166">
        <v>15.63</v>
      </c>
      <c r="E7" s="166">
        <f t="shared" si="0"/>
        <v>15.63</v>
      </c>
      <c r="F7" s="166"/>
      <c r="G7" s="152"/>
      <c r="H7" s="150"/>
      <c r="I7" s="160"/>
      <c r="J7" s="150"/>
      <c r="K7" s="150"/>
      <c r="L7" s="150"/>
      <c r="P7" s="9"/>
      <c r="Q7" s="9"/>
    </row>
    <row r="8" spans="1:23" ht="15" x14ac:dyDescent="0.25">
      <c r="A8" s="168"/>
      <c r="B8" s="169"/>
      <c r="C8" s="170"/>
      <c r="D8" s="171"/>
      <c r="E8" s="171">
        <v>0</v>
      </c>
      <c r="F8" s="166"/>
      <c r="G8" s="152"/>
      <c r="H8" s="150"/>
      <c r="I8" s="160"/>
      <c r="J8" s="150"/>
      <c r="K8" s="150"/>
      <c r="L8" s="150"/>
      <c r="P8" s="9"/>
      <c r="Q8" s="9"/>
    </row>
    <row r="9" spans="1:23" ht="15" x14ac:dyDescent="0.25">
      <c r="A9" s="150"/>
      <c r="B9" s="150"/>
      <c r="C9" s="151"/>
      <c r="D9" s="150"/>
      <c r="E9" s="150"/>
      <c r="F9" s="150"/>
      <c r="G9" s="152"/>
      <c r="H9" s="151"/>
      <c r="I9" s="172"/>
      <c r="J9" s="150"/>
      <c r="K9" s="150"/>
      <c r="L9" s="150"/>
      <c r="P9" s="9"/>
      <c r="Q9" s="9"/>
    </row>
    <row r="10" spans="1:23" x14ac:dyDescent="0.2">
      <c r="I10" s="173"/>
      <c r="P10" s="9"/>
      <c r="Q10" s="9"/>
    </row>
    <row r="11" spans="1:23" x14ac:dyDescent="0.2">
      <c r="I11" s="173"/>
      <c r="P11" s="9"/>
      <c r="Q11" s="9"/>
    </row>
    <row r="12" spans="1:23" ht="15" x14ac:dyDescent="0.25">
      <c r="A12" s="174" t="s">
        <v>115</v>
      </c>
      <c r="F12" s="175"/>
      <c r="G12" s="155"/>
      <c r="H12" s="155">
        <v>6.5</v>
      </c>
      <c r="I12" s="173">
        <v>7322.5</v>
      </c>
      <c r="O12" t="str">
        <f>A12</f>
        <v xml:space="preserve">DM - Lika Motor upgrade (incl. Sealing)
</v>
      </c>
      <c r="P12" s="9">
        <f>100/H17*H15</f>
        <v>91.603540119720606</v>
      </c>
      <c r="Q12" s="9">
        <f>100/H17*H16</f>
        <v>8.3964598802793997</v>
      </c>
      <c r="R12" s="155">
        <f>Q12+P12</f>
        <v>100</v>
      </c>
      <c r="S12" s="161">
        <f>IF('TW - ASML AVR'!E15&lt;&gt;0,'Calc.'!P12,0)</f>
        <v>0</v>
      </c>
      <c r="T12" s="161">
        <f>IF('TW - ASML AVR'!E15&lt;&gt;0,'Calc.'!Q12,0)</f>
        <v>0</v>
      </c>
      <c r="U12" s="162">
        <f>S12*H17/100</f>
        <v>0</v>
      </c>
      <c r="V12" s="162">
        <f>T12*H17/100</f>
        <v>0</v>
      </c>
      <c r="W12" s="163">
        <f>V12+U12</f>
        <v>0</v>
      </c>
    </row>
    <row r="13" spans="1:23" ht="15" x14ac:dyDescent="0.25">
      <c r="A13" s="280" t="s">
        <v>136</v>
      </c>
      <c r="B13" s="281"/>
      <c r="C13" s="281"/>
      <c r="D13" s="281"/>
      <c r="E13" s="281"/>
      <c r="H13" s="176"/>
      <c r="I13" s="173"/>
      <c r="P13" s="9"/>
      <c r="Q13" s="9"/>
    </row>
    <row r="14" spans="1:23" ht="15" x14ac:dyDescent="0.25">
      <c r="A14" s="216" t="s">
        <v>103</v>
      </c>
      <c r="B14" s="217" t="s">
        <v>104</v>
      </c>
      <c r="C14" s="218" t="s">
        <v>105</v>
      </c>
      <c r="D14" s="217" t="s">
        <v>106</v>
      </c>
      <c r="E14" s="219" t="s">
        <v>107</v>
      </c>
      <c r="F14" s="175"/>
      <c r="G14" s="155"/>
      <c r="H14" s="176"/>
      <c r="I14" s="173"/>
      <c r="P14" s="9"/>
      <c r="Q14" s="9"/>
    </row>
    <row r="15" spans="1:23" ht="15" x14ac:dyDescent="0.25">
      <c r="A15" s="177" t="s">
        <v>113</v>
      </c>
      <c r="B15" s="155" t="s">
        <v>114</v>
      </c>
      <c r="C15" s="178">
        <v>2</v>
      </c>
      <c r="D15" s="176">
        <v>15.63</v>
      </c>
      <c r="E15" s="201">
        <v>31.26</v>
      </c>
      <c r="G15" s="175" t="s">
        <v>108</v>
      </c>
      <c r="H15" s="176">
        <f>SUM(E15:E23)*L2</f>
        <v>6382.2220000000007</v>
      </c>
      <c r="I15" s="173"/>
      <c r="P15" s="9"/>
      <c r="Q15" s="9"/>
    </row>
    <row r="16" spans="1:23" ht="15" x14ac:dyDescent="0.25">
      <c r="A16" s="179">
        <v>400127</v>
      </c>
      <c r="B16" s="155" t="s">
        <v>187</v>
      </c>
      <c r="C16" s="178">
        <v>2</v>
      </c>
      <c r="D16" s="176">
        <v>1959.72</v>
      </c>
      <c r="E16" s="201">
        <v>3919.44</v>
      </c>
      <c r="G16" s="175" t="s">
        <v>47</v>
      </c>
      <c r="H16" s="176">
        <v>585</v>
      </c>
      <c r="I16" s="173"/>
      <c r="P16" s="9"/>
      <c r="Q16" s="9"/>
    </row>
    <row r="17" spans="1:23" ht="15" x14ac:dyDescent="0.25">
      <c r="A17" s="179" t="s">
        <v>188</v>
      </c>
      <c r="B17" s="155" t="s">
        <v>189</v>
      </c>
      <c r="C17" s="178">
        <v>2</v>
      </c>
      <c r="D17" s="176">
        <v>16.8</v>
      </c>
      <c r="E17" s="201">
        <v>33.6</v>
      </c>
      <c r="G17" s="175" t="s">
        <v>112</v>
      </c>
      <c r="H17" s="176">
        <f>SUM(H15:H16)</f>
        <v>6967.2220000000007</v>
      </c>
      <c r="I17" s="180"/>
      <c r="P17" s="9"/>
      <c r="Q17" s="9"/>
    </row>
    <row r="18" spans="1:23" ht="15" x14ac:dyDescent="0.25">
      <c r="A18" s="179">
        <v>612678</v>
      </c>
      <c r="B18" s="155" t="s">
        <v>190</v>
      </c>
      <c r="C18" s="178">
        <v>1</v>
      </c>
      <c r="D18" s="220">
        <v>48.52</v>
      </c>
      <c r="E18" s="201">
        <v>48.52</v>
      </c>
      <c r="G18" s="175"/>
      <c r="H18" s="176"/>
      <c r="I18" s="180"/>
      <c r="P18" s="9"/>
      <c r="Q18" s="9"/>
    </row>
    <row r="19" spans="1:23" ht="15" x14ac:dyDescent="0.25">
      <c r="A19" s="179"/>
      <c r="B19" s="155" t="s">
        <v>191</v>
      </c>
      <c r="C19" s="178">
        <v>2</v>
      </c>
      <c r="D19" s="221">
        <v>180</v>
      </c>
      <c r="E19" s="201">
        <v>360</v>
      </c>
      <c r="G19" s="175"/>
      <c r="H19" s="176"/>
      <c r="I19" s="180"/>
      <c r="P19" s="9"/>
      <c r="Q19" s="9"/>
    </row>
    <row r="20" spans="1:23" ht="15" x14ac:dyDescent="0.25">
      <c r="A20" s="179"/>
      <c r="B20" s="155" t="s">
        <v>192</v>
      </c>
      <c r="C20" s="178">
        <v>2</v>
      </c>
      <c r="D20" s="221">
        <v>46.985714285714288</v>
      </c>
      <c r="E20" s="201">
        <v>93.971428571428575</v>
      </c>
      <c r="G20" s="175"/>
      <c r="H20" s="176"/>
      <c r="I20" s="180"/>
      <c r="P20" s="9"/>
      <c r="Q20" s="9"/>
    </row>
    <row r="21" spans="1:23" ht="15" x14ac:dyDescent="0.25">
      <c r="A21" s="177"/>
      <c r="B21" s="222" t="s">
        <v>193</v>
      </c>
      <c r="C21" s="223">
        <v>2</v>
      </c>
      <c r="D21" s="224">
        <v>205.71428571428572</v>
      </c>
      <c r="E21" s="201"/>
      <c r="G21" s="175"/>
      <c r="H21" s="176"/>
      <c r="I21" s="180"/>
      <c r="P21" s="9"/>
      <c r="Q21" s="9"/>
    </row>
    <row r="22" spans="1:23" ht="15" x14ac:dyDescent="0.25">
      <c r="A22" s="179"/>
      <c r="B22" s="155" t="s">
        <v>194</v>
      </c>
      <c r="C22" s="178">
        <v>1</v>
      </c>
      <c r="D22" s="176">
        <v>71.428571428571431</v>
      </c>
      <c r="E22" s="201">
        <v>71.428571428571431</v>
      </c>
      <c r="G22" s="175"/>
      <c r="H22" s="176"/>
      <c r="I22" s="180"/>
      <c r="P22" s="9"/>
      <c r="Q22" s="9"/>
    </row>
    <row r="23" spans="1:23" ht="15" x14ac:dyDescent="0.25">
      <c r="A23" s="202" t="s">
        <v>195</v>
      </c>
      <c r="B23" s="203" t="s">
        <v>196</v>
      </c>
      <c r="C23" s="204">
        <v>1</v>
      </c>
      <c r="D23" s="225">
        <v>0.51</v>
      </c>
      <c r="E23" s="205">
        <v>0.51</v>
      </c>
      <c r="G23" s="175"/>
      <c r="H23" s="176"/>
      <c r="I23" s="180"/>
      <c r="P23" s="9"/>
      <c r="Q23" s="9"/>
    </row>
    <row r="24" spans="1:23" x14ac:dyDescent="0.2">
      <c r="I24" s="173"/>
      <c r="P24" s="9"/>
      <c r="Q24" s="9"/>
    </row>
    <row r="25" spans="1:23" ht="15" x14ac:dyDescent="0.25">
      <c r="I25" s="173"/>
      <c r="P25" s="9"/>
      <c r="Q25" s="9"/>
      <c r="R25" s="155"/>
    </row>
    <row r="26" spans="1:23" ht="15" x14ac:dyDescent="0.25">
      <c r="A26" s="181" t="s">
        <v>119</v>
      </c>
      <c r="B26" s="182"/>
      <c r="C26" s="183"/>
      <c r="D26" s="182"/>
      <c r="E26" s="182"/>
      <c r="F26" s="175" t="s">
        <v>47</v>
      </c>
      <c r="G26" s="182"/>
      <c r="H26" s="182">
        <v>8</v>
      </c>
      <c r="I26" s="184">
        <v>3165</v>
      </c>
      <c r="O26" t="str">
        <f>A26</f>
        <v>Motor/Spindel upgrade  - SCARA</v>
      </c>
      <c r="P26" s="9">
        <f>100/H31*H29</f>
        <v>73.715010846208727</v>
      </c>
      <c r="Q26" s="9">
        <f>100/H31*H30</f>
        <v>26.28498915379129</v>
      </c>
      <c r="R26" s="155">
        <f>Q26+P26</f>
        <v>100.00000000000001</v>
      </c>
      <c r="S26" s="161">
        <f>IF('TW - ASML AVR'!E17&lt;&gt;0,'Calc.'!P26,0)</f>
        <v>0</v>
      </c>
      <c r="T26" s="161">
        <f>IF('TW - ASML AVR'!E17&lt;&gt;0,'Calc.'!Q26,0)</f>
        <v>0</v>
      </c>
      <c r="U26" s="162">
        <f>S26*H31/100</f>
        <v>0</v>
      </c>
      <c r="V26" s="162">
        <f>T26*H31/100</f>
        <v>0</v>
      </c>
      <c r="W26" s="163">
        <f>V26+U26</f>
        <v>0</v>
      </c>
    </row>
    <row r="27" spans="1:23" ht="15" x14ac:dyDescent="0.25">
      <c r="A27" s="282" t="s">
        <v>102</v>
      </c>
      <c r="B27" s="283"/>
      <c r="C27" s="283"/>
      <c r="D27" s="283"/>
      <c r="E27" s="283"/>
      <c r="F27" s="183"/>
      <c r="G27" s="185"/>
      <c r="H27" s="182"/>
      <c r="I27" s="184"/>
      <c r="P27" s="9"/>
      <c r="Q27" s="9"/>
      <c r="R27" s="155"/>
    </row>
    <row r="28" spans="1:23" ht="15" x14ac:dyDescent="0.25">
      <c r="A28" s="186" t="s">
        <v>103</v>
      </c>
      <c r="B28" s="182" t="s">
        <v>104</v>
      </c>
      <c r="C28" s="183" t="s">
        <v>105</v>
      </c>
      <c r="D28" s="182" t="s">
        <v>106</v>
      </c>
      <c r="E28" s="182" t="s">
        <v>107</v>
      </c>
      <c r="F28" s="182"/>
      <c r="G28" s="185"/>
      <c r="H28" s="182"/>
      <c r="I28" s="184"/>
      <c r="P28" s="9"/>
      <c r="Q28" s="9"/>
      <c r="R28" s="155"/>
    </row>
    <row r="29" spans="1:23" ht="15" x14ac:dyDescent="0.25">
      <c r="A29" s="187" t="s">
        <v>120</v>
      </c>
      <c r="B29" s="188" t="s">
        <v>121</v>
      </c>
      <c r="C29" s="183">
        <v>1</v>
      </c>
      <c r="D29" s="189">
        <v>770</v>
      </c>
      <c r="E29" s="166">
        <f>D29*C29</f>
        <v>770</v>
      </c>
      <c r="F29" s="190"/>
      <c r="G29" s="185" t="s">
        <v>108</v>
      </c>
      <c r="H29" s="190">
        <f>SUM(E29:E36)*$L$2</f>
        <v>2019.2059999999994</v>
      </c>
      <c r="I29" s="184"/>
      <c r="P29" s="9"/>
      <c r="Q29" s="9"/>
      <c r="R29" s="155"/>
    </row>
    <row r="30" spans="1:23" ht="15" x14ac:dyDescent="0.25">
      <c r="A30" s="182" t="s">
        <v>122</v>
      </c>
      <c r="B30" s="182" t="s">
        <v>123</v>
      </c>
      <c r="C30" s="183">
        <v>1</v>
      </c>
      <c r="D30" s="191">
        <v>350.5</v>
      </c>
      <c r="E30" s="166">
        <f t="shared" ref="E30:E35" si="1">D30*C30</f>
        <v>350.5</v>
      </c>
      <c r="F30" s="190"/>
      <c r="G30" s="185" t="s">
        <v>47</v>
      </c>
      <c r="H30" s="190">
        <f>H26*$L$1</f>
        <v>720</v>
      </c>
      <c r="I30" s="184"/>
      <c r="P30" s="9"/>
      <c r="Q30" s="9"/>
      <c r="R30" s="155"/>
    </row>
    <row r="31" spans="1:23" ht="15" x14ac:dyDescent="0.25">
      <c r="A31" s="182" t="s">
        <v>124</v>
      </c>
      <c r="B31" s="182" t="s">
        <v>125</v>
      </c>
      <c r="C31" s="183">
        <v>1</v>
      </c>
      <c r="D31" s="191">
        <v>144.4</v>
      </c>
      <c r="E31" s="166">
        <f t="shared" si="1"/>
        <v>144.4</v>
      </c>
      <c r="F31" s="190"/>
      <c r="G31" s="185" t="s">
        <v>112</v>
      </c>
      <c r="H31" s="190">
        <f>SUM(H29:H30)</f>
        <v>2739.2059999999992</v>
      </c>
      <c r="I31" s="184"/>
      <c r="P31" s="9"/>
      <c r="Q31" s="9"/>
      <c r="R31" s="155"/>
    </row>
    <row r="32" spans="1:23" ht="15" x14ac:dyDescent="0.25">
      <c r="A32" s="182" t="s">
        <v>126</v>
      </c>
      <c r="B32" s="182" t="s">
        <v>128</v>
      </c>
      <c r="C32" s="183">
        <v>1</v>
      </c>
      <c r="D32" s="191">
        <v>18.36</v>
      </c>
      <c r="E32" s="166">
        <f t="shared" si="1"/>
        <v>18.36</v>
      </c>
      <c r="F32" s="190"/>
      <c r="G32" s="185"/>
      <c r="H32" s="190"/>
      <c r="I32" s="184"/>
      <c r="P32" s="9"/>
      <c r="Q32" s="9"/>
      <c r="R32" s="155"/>
    </row>
    <row r="33" spans="1:23" ht="15" x14ac:dyDescent="0.25">
      <c r="A33" s="185">
        <v>609808</v>
      </c>
      <c r="B33" s="182" t="s">
        <v>127</v>
      </c>
      <c r="C33" s="183">
        <v>1</v>
      </c>
      <c r="D33" s="191">
        <v>47.1</v>
      </c>
      <c r="E33" s="166">
        <f t="shared" si="1"/>
        <v>47.1</v>
      </c>
      <c r="F33" s="190"/>
      <c r="G33" s="185"/>
      <c r="H33" s="190"/>
      <c r="I33" s="184"/>
      <c r="P33" s="9"/>
      <c r="Q33" s="9"/>
      <c r="R33" s="155"/>
    </row>
    <row r="34" spans="1:23" ht="15" x14ac:dyDescent="0.25">
      <c r="A34" s="182" t="s">
        <v>130</v>
      </c>
      <c r="B34" s="182" t="s">
        <v>131</v>
      </c>
      <c r="C34" s="183">
        <v>1</v>
      </c>
      <c r="D34" s="191">
        <v>14.36</v>
      </c>
      <c r="E34" s="166">
        <f t="shared" si="1"/>
        <v>14.36</v>
      </c>
      <c r="F34" s="190"/>
      <c r="G34" s="185"/>
      <c r="H34" s="190"/>
      <c r="I34" s="184"/>
      <c r="P34" s="9"/>
      <c r="Q34" s="9"/>
      <c r="R34" s="155"/>
    </row>
    <row r="35" spans="1:23" ht="15" x14ac:dyDescent="0.25">
      <c r="A35" s="182" t="s">
        <v>129</v>
      </c>
      <c r="B35" s="182" t="s">
        <v>132</v>
      </c>
      <c r="C35" s="183">
        <v>1</v>
      </c>
      <c r="D35" s="191">
        <v>97.57</v>
      </c>
      <c r="E35" s="166">
        <f t="shared" si="1"/>
        <v>97.57</v>
      </c>
      <c r="F35" s="190"/>
      <c r="G35" s="185"/>
      <c r="H35" s="190"/>
      <c r="I35" s="184"/>
      <c r="P35" s="9"/>
      <c r="Q35" s="9"/>
      <c r="R35" s="155"/>
    </row>
    <row r="36" spans="1:23" ht="15" x14ac:dyDescent="0.25">
      <c r="A36" s="192"/>
      <c r="B36" s="192"/>
      <c r="C36" s="193"/>
      <c r="D36" s="194"/>
      <c r="E36" s="195"/>
      <c r="F36" s="190"/>
      <c r="I36" s="184"/>
      <c r="P36" s="9"/>
      <c r="Q36" s="9"/>
      <c r="R36" s="155"/>
    </row>
    <row r="37" spans="1:23" ht="15" x14ac:dyDescent="0.25">
      <c r="I37" s="173"/>
      <c r="P37" s="9"/>
      <c r="Q37" s="9"/>
      <c r="R37" s="155"/>
    </row>
    <row r="38" spans="1:23" ht="15" x14ac:dyDescent="0.25">
      <c r="H38">
        <v>7.5</v>
      </c>
      <c r="I38" s="184">
        <v>1251.47</v>
      </c>
      <c r="O38" t="str">
        <f>A39</f>
        <v>Platinenpaket 4-&gt; 5</v>
      </c>
      <c r="P38" s="9">
        <f>100/H42*H40</f>
        <v>38.757067888017069</v>
      </c>
      <c r="Q38" s="9">
        <f>100/H42*H41</f>
        <v>61.242932111982924</v>
      </c>
      <c r="R38" s="155">
        <f>Q38+P38</f>
        <v>100</v>
      </c>
      <c r="S38" s="161">
        <f>IF('TW - ASML AVR'!E21&lt;&gt;0,'Calc.'!P38,0)</f>
        <v>0</v>
      </c>
      <c r="T38" s="161">
        <f>IF('TW - ASML AVR'!E21&lt;&gt;0,'Calc.'!Q38,0)</f>
        <v>0</v>
      </c>
      <c r="U38" s="162">
        <f>S38*H42/100</f>
        <v>0</v>
      </c>
      <c r="V38" s="162">
        <f>T38*H42/100</f>
        <v>0</v>
      </c>
      <c r="W38" s="163">
        <f>V38+U38</f>
        <v>0</v>
      </c>
    </row>
    <row r="39" spans="1:23" ht="15" x14ac:dyDescent="0.25">
      <c r="A39" s="181" t="s">
        <v>133</v>
      </c>
      <c r="B39" s="182"/>
      <c r="C39" s="183"/>
      <c r="D39" s="182"/>
      <c r="E39" s="182"/>
      <c r="I39" s="173"/>
      <c r="P39" s="9"/>
      <c r="Q39" s="9"/>
      <c r="R39" s="155"/>
    </row>
    <row r="40" spans="1:23" ht="15" x14ac:dyDescent="0.25">
      <c r="A40" s="282" t="s">
        <v>102</v>
      </c>
      <c r="B40" s="283"/>
      <c r="C40" s="283"/>
      <c r="D40" s="283"/>
      <c r="E40" s="283"/>
      <c r="G40" s="185" t="s">
        <v>108</v>
      </c>
      <c r="H40" s="190">
        <f>SUM(E41:E42)*$L$2</f>
        <v>427.16800000000001</v>
      </c>
      <c r="I40" s="173"/>
      <c r="P40" s="9"/>
      <c r="Q40" s="9"/>
      <c r="R40" s="155"/>
    </row>
    <row r="41" spans="1:23" ht="15" x14ac:dyDescent="0.25">
      <c r="A41" t="s">
        <v>134</v>
      </c>
      <c r="B41" t="s">
        <v>135</v>
      </c>
      <c r="C41">
        <v>1</v>
      </c>
      <c r="D41">
        <v>305.12</v>
      </c>
      <c r="E41" s="166">
        <f t="shared" ref="E41" si="2">D41*C41</f>
        <v>305.12</v>
      </c>
      <c r="G41" s="185" t="s">
        <v>47</v>
      </c>
      <c r="H41" s="190">
        <f>H38*$L$1</f>
        <v>675</v>
      </c>
      <c r="I41" s="173"/>
      <c r="P41" s="9"/>
      <c r="Q41" s="9"/>
      <c r="R41" s="155"/>
    </row>
    <row r="42" spans="1:23" ht="15" x14ac:dyDescent="0.25">
      <c r="A42" s="196"/>
      <c r="B42" s="196"/>
      <c r="C42" s="196"/>
      <c r="D42" s="196"/>
      <c r="E42" s="196"/>
      <c r="G42" s="185" t="s">
        <v>112</v>
      </c>
      <c r="H42" s="190">
        <f>SUM(H40:H41)</f>
        <v>1102.1680000000001</v>
      </c>
      <c r="I42" s="173"/>
      <c r="P42" s="9"/>
      <c r="Q42" s="9"/>
      <c r="R42" s="155"/>
    </row>
    <row r="43" spans="1:23" ht="15" x14ac:dyDescent="0.25">
      <c r="G43" s="185"/>
      <c r="H43" s="190"/>
      <c r="I43" s="173"/>
      <c r="P43" s="9"/>
      <c r="Q43" s="9"/>
      <c r="R43" s="155"/>
    </row>
    <row r="44" spans="1:23" ht="15" x14ac:dyDescent="0.25">
      <c r="A44" s="181" t="s">
        <v>197</v>
      </c>
      <c r="F44" s="175" t="s">
        <v>47</v>
      </c>
      <c r="G44" s="185"/>
      <c r="H44" s="190"/>
      <c r="I44" s="173"/>
      <c r="O44" s="181" t="s">
        <v>197</v>
      </c>
      <c r="P44" s="9">
        <f>100/H47*H45</f>
        <v>90.446673730820706</v>
      </c>
      <c r="Q44" s="9">
        <f>100/H47*H46</f>
        <v>9.5533262691792959</v>
      </c>
      <c r="R44" s="155">
        <f>Q44+P44</f>
        <v>100</v>
      </c>
      <c r="S44" s="161">
        <f>IF('TW - ASML AVR'!E22&lt;&gt;0,'Calc.'!P44,0)</f>
        <v>0</v>
      </c>
      <c r="T44" s="161">
        <f>IF('TW - ASML AVR'!E22&lt;&gt;0,'Calc.'!Q44,0)</f>
        <v>0</v>
      </c>
      <c r="U44" s="162">
        <f>S44*H47/100</f>
        <v>0</v>
      </c>
      <c r="V44" s="162">
        <f>T44*H47/100</f>
        <v>0</v>
      </c>
      <c r="W44" s="163">
        <f>V44+U44</f>
        <v>0</v>
      </c>
    </row>
    <row r="45" spans="1:23" ht="15" x14ac:dyDescent="0.25">
      <c r="A45" s="282" t="s">
        <v>102</v>
      </c>
      <c r="B45" s="283"/>
      <c r="C45" s="283"/>
      <c r="D45" s="283"/>
      <c r="E45" s="283"/>
      <c r="G45" s="185" t="s">
        <v>108</v>
      </c>
      <c r="H45" s="190">
        <f>SUM(C47:C49)</f>
        <v>6816.6420000000007</v>
      </c>
      <c r="I45" s="173"/>
      <c r="P45" s="9"/>
      <c r="Q45" s="9"/>
      <c r="R45" s="155"/>
    </row>
    <row r="46" spans="1:23" ht="15" x14ac:dyDescent="0.25">
      <c r="C46" t="s">
        <v>209</v>
      </c>
      <c r="D46" t="s">
        <v>47</v>
      </c>
      <c r="E46" t="s">
        <v>112</v>
      </c>
      <c r="G46" s="185" t="s">
        <v>47</v>
      </c>
      <c r="H46" s="190">
        <f>SUM(D47:D49)</f>
        <v>720</v>
      </c>
      <c r="I46" s="173"/>
      <c r="P46" s="9"/>
      <c r="Q46" s="9"/>
      <c r="R46" s="155"/>
    </row>
    <row r="47" spans="1:23" ht="15" x14ac:dyDescent="0.25">
      <c r="A47" t="s">
        <v>199</v>
      </c>
      <c r="C47" s="163">
        <f>H15</f>
        <v>6382.2220000000007</v>
      </c>
      <c r="D47" s="163">
        <f>H16</f>
        <v>585</v>
      </c>
      <c r="E47" s="163">
        <f>H17</f>
        <v>6967.2220000000007</v>
      </c>
      <c r="G47" s="185" t="s">
        <v>112</v>
      </c>
      <c r="H47" s="190">
        <f>SUM(H45:H46)</f>
        <v>7536.6420000000007</v>
      </c>
      <c r="I47" s="173"/>
      <c r="P47" s="9"/>
      <c r="Q47" s="9"/>
      <c r="R47" s="155"/>
    </row>
    <row r="48" spans="1:23" ht="15" x14ac:dyDescent="0.25">
      <c r="A48" t="s">
        <v>200</v>
      </c>
      <c r="C48" s="163">
        <f>F84</f>
        <v>375.9</v>
      </c>
      <c r="D48" s="163">
        <f>H84</f>
        <v>90</v>
      </c>
      <c r="E48" s="163">
        <f>I84</f>
        <v>465.9</v>
      </c>
      <c r="G48" s="185"/>
      <c r="H48" s="190"/>
      <c r="I48" s="173"/>
      <c r="P48" s="9"/>
      <c r="Q48" s="9"/>
      <c r="R48" s="155"/>
    </row>
    <row r="49" spans="1:23" ht="15" x14ac:dyDescent="0.25">
      <c r="A49" s="149" t="s">
        <v>212</v>
      </c>
      <c r="C49" s="163">
        <f>F91</f>
        <v>58.519999999999989</v>
      </c>
      <c r="D49" s="163">
        <f>H91</f>
        <v>45</v>
      </c>
      <c r="E49" s="163">
        <f>I91</f>
        <v>103.51999999999998</v>
      </c>
      <c r="G49" s="185"/>
      <c r="H49" s="190"/>
      <c r="I49" s="173"/>
      <c r="P49" s="9"/>
      <c r="Q49" s="9"/>
      <c r="R49" s="155"/>
    </row>
    <row r="50" spans="1:23" ht="15" x14ac:dyDescent="0.25">
      <c r="G50" s="185"/>
      <c r="H50" s="190"/>
      <c r="I50" s="173"/>
      <c r="P50" s="9"/>
      <c r="Q50" s="9"/>
      <c r="R50" s="155"/>
    </row>
    <row r="51" spans="1:23" ht="15" x14ac:dyDescent="0.25">
      <c r="I51" s="173"/>
      <c r="P51" s="9"/>
      <c r="Q51" s="9"/>
      <c r="R51" s="155"/>
    </row>
    <row r="52" spans="1:23" ht="15" x14ac:dyDescent="0.25">
      <c r="A52" s="181" t="s">
        <v>141</v>
      </c>
      <c r="H52">
        <v>5</v>
      </c>
      <c r="I52" s="173">
        <v>730</v>
      </c>
      <c r="P52" s="9"/>
      <c r="Q52" s="9"/>
      <c r="R52" s="155"/>
    </row>
    <row r="53" spans="1:23" ht="15" x14ac:dyDescent="0.25">
      <c r="A53" s="282" t="s">
        <v>102</v>
      </c>
      <c r="B53" s="283"/>
      <c r="C53" s="283"/>
      <c r="D53" s="283"/>
      <c r="E53" s="283"/>
      <c r="I53" s="173"/>
      <c r="O53" t="str">
        <f>A52</f>
        <v>Bearings (Main) arm</v>
      </c>
      <c r="P53" s="9">
        <f>100/H56*H54</f>
        <v>25.368678727088184</v>
      </c>
      <c r="Q53" s="9">
        <f>100/H56*H55</f>
        <v>74.631321272911819</v>
      </c>
      <c r="R53" s="155">
        <f>Q53+P53</f>
        <v>100</v>
      </c>
      <c r="S53" s="161">
        <f>IF('TW - ASML AVR'!E28&lt;&gt;0,'Calc.'!P53,0)</f>
        <v>0</v>
      </c>
      <c r="T53" s="161">
        <f>IF('TW - ASML AVR'!E28&lt;&gt;0,'Calc.'!Q53,0)</f>
        <v>0</v>
      </c>
      <c r="U53" s="162">
        <f>S53*H56/100</f>
        <v>0</v>
      </c>
      <c r="V53" s="162">
        <f>T53*H56/100</f>
        <v>0</v>
      </c>
      <c r="W53" s="163">
        <f>V53+U53</f>
        <v>0</v>
      </c>
    </row>
    <row r="54" spans="1:23" ht="15" x14ac:dyDescent="0.25">
      <c r="A54" s="186" t="s">
        <v>103</v>
      </c>
      <c r="B54" s="182" t="s">
        <v>104</v>
      </c>
      <c r="C54" s="183" t="s">
        <v>105</v>
      </c>
      <c r="D54" s="182" t="s">
        <v>106</v>
      </c>
      <c r="E54" s="182" t="s">
        <v>107</v>
      </c>
      <c r="G54" s="185" t="s">
        <v>108</v>
      </c>
      <c r="H54" s="190">
        <f>SUM(E55:E56)*$L$2</f>
        <v>152.96399999999997</v>
      </c>
      <c r="I54" s="173"/>
      <c r="P54" s="9"/>
      <c r="Q54" s="9"/>
      <c r="R54" s="155"/>
    </row>
    <row r="55" spans="1:23" ht="15" x14ac:dyDescent="0.25">
      <c r="A55" s="182" t="s">
        <v>137</v>
      </c>
      <c r="B55" s="182" t="s">
        <v>138</v>
      </c>
      <c r="C55" s="183">
        <v>1</v>
      </c>
      <c r="D55" s="190">
        <v>36.6</v>
      </c>
      <c r="E55" s="166">
        <f>D55*C55</f>
        <v>36.6</v>
      </c>
      <c r="G55" s="185" t="s">
        <v>47</v>
      </c>
      <c r="H55" s="190">
        <f>H52*$L$1</f>
        <v>450</v>
      </c>
      <c r="I55" s="173"/>
      <c r="P55" s="9"/>
      <c r="Q55" s="9"/>
      <c r="R55" s="155"/>
    </row>
    <row r="56" spans="1:23" ht="15" x14ac:dyDescent="0.25">
      <c r="A56" s="182" t="s">
        <v>139</v>
      </c>
      <c r="B56" s="182" t="s">
        <v>140</v>
      </c>
      <c r="C56" s="183">
        <v>2</v>
      </c>
      <c r="D56" s="190">
        <v>36.33</v>
      </c>
      <c r="E56" s="166">
        <f t="shared" ref="E56" si="3">D56*C56</f>
        <v>72.66</v>
      </c>
      <c r="G56" s="185" t="s">
        <v>112</v>
      </c>
      <c r="H56" s="190">
        <f>SUM(H54:H55)</f>
        <v>602.96399999999994</v>
      </c>
      <c r="I56" s="173"/>
      <c r="P56" s="9"/>
      <c r="Q56" s="9"/>
      <c r="R56" s="155"/>
    </row>
    <row r="57" spans="1:23" ht="15" x14ac:dyDescent="0.25">
      <c r="A57" s="197"/>
      <c r="B57" s="198"/>
      <c r="C57" s="193"/>
      <c r="D57" s="195"/>
      <c r="E57" s="195"/>
      <c r="I57" s="173"/>
      <c r="P57" s="9"/>
      <c r="Q57" s="9"/>
    </row>
    <row r="58" spans="1:23" x14ac:dyDescent="0.2">
      <c r="I58" s="173"/>
      <c r="P58" s="9"/>
      <c r="Q58" s="9"/>
    </row>
    <row r="59" spans="1:23" ht="15" x14ac:dyDescent="0.25">
      <c r="A59" s="182" t="s">
        <v>152</v>
      </c>
      <c r="D59" t="s">
        <v>108</v>
      </c>
      <c r="F59" t="s">
        <v>148</v>
      </c>
      <c r="G59" t="s">
        <v>47</v>
      </c>
      <c r="H59" t="s">
        <v>149</v>
      </c>
      <c r="I59" s="185" t="s">
        <v>112</v>
      </c>
      <c r="J59" s="173" t="s">
        <v>150</v>
      </c>
      <c r="P59" s="9"/>
      <c r="Q59" s="9"/>
    </row>
    <row r="60" spans="1:23" x14ac:dyDescent="0.2">
      <c r="B60" s="149"/>
      <c r="H60" s="163"/>
      <c r="J60" s="173"/>
      <c r="P60" s="9"/>
      <c r="Q60" s="9"/>
    </row>
    <row r="61" spans="1:23" ht="15" x14ac:dyDescent="0.25">
      <c r="A61" s="149" t="s">
        <v>180</v>
      </c>
      <c r="B61" t="s">
        <v>147</v>
      </c>
      <c r="C61">
        <v>1</v>
      </c>
      <c r="D61" s="163">
        <f>374+120+42+50</f>
        <v>586</v>
      </c>
      <c r="E61" s="163">
        <f>D61*C61</f>
        <v>586</v>
      </c>
      <c r="F61" s="163">
        <f>E61*$L$2</f>
        <v>820.4</v>
      </c>
      <c r="G61">
        <v>5</v>
      </c>
      <c r="H61" s="163">
        <f>G61*$L$1</f>
        <v>450</v>
      </c>
      <c r="I61" s="163">
        <f>H61+F61</f>
        <v>1270.4000000000001</v>
      </c>
      <c r="J61" s="199">
        <v>1535</v>
      </c>
      <c r="K61" s="149"/>
      <c r="O61" t="str">
        <f>B61</f>
        <v>Getriebeglied zentral / lower main link</v>
      </c>
      <c r="P61" s="9">
        <f>100/I61*F61</f>
        <v>64.578085642317376</v>
      </c>
      <c r="Q61" s="9">
        <f>100/I61*H61</f>
        <v>35.421914357682617</v>
      </c>
      <c r="R61" s="155">
        <f>Q61+P61</f>
        <v>100</v>
      </c>
      <c r="S61" s="161">
        <f>IF('TW - ASML AVR'!E29&lt;&gt;0,'Calc.'!P61,0)</f>
        <v>0</v>
      </c>
      <c r="T61" s="161">
        <f>IF('TW - ASML AVR'!E29&lt;&gt;0,'Calc.'!Q61,0)</f>
        <v>0</v>
      </c>
      <c r="U61" s="162">
        <f>S61*I61/100</f>
        <v>0</v>
      </c>
      <c r="V61" s="162">
        <f>T61*I61/100</f>
        <v>0</v>
      </c>
      <c r="W61" s="163">
        <f>V61+U61</f>
        <v>0</v>
      </c>
    </row>
    <row r="62" spans="1:23" ht="15" x14ac:dyDescent="0.25">
      <c r="A62">
        <v>602386</v>
      </c>
      <c r="B62" s="149" t="s">
        <v>153</v>
      </c>
      <c r="C62">
        <v>1</v>
      </c>
      <c r="D62" s="163">
        <f>305+100</f>
        <v>405</v>
      </c>
      <c r="E62" s="163">
        <f t="shared" ref="E62:E70" si="4">D62*C62</f>
        <v>405</v>
      </c>
      <c r="F62" s="163">
        <f>E62*$L$2</f>
        <v>567</v>
      </c>
      <c r="G62">
        <v>4.5</v>
      </c>
      <c r="H62" s="163">
        <f t="shared" ref="H62:H70" si="5">G62*$L$1</f>
        <v>405</v>
      </c>
      <c r="I62" s="163">
        <f>H62+F62</f>
        <v>972</v>
      </c>
      <c r="J62" s="199">
        <v>1065</v>
      </c>
      <c r="K62" s="149"/>
      <c r="O62" t="str">
        <f t="shared" ref="O62:O71" si="6">B62</f>
        <v>Getriebeglied / second lower lin</v>
      </c>
      <c r="P62" s="9">
        <f>100/I62*F62</f>
        <v>58.333333333333336</v>
      </c>
      <c r="Q62" s="9">
        <f>100/I62*H62</f>
        <v>41.666666666666671</v>
      </c>
      <c r="R62" s="155">
        <f>Q62+P62</f>
        <v>100</v>
      </c>
      <c r="S62" s="161">
        <f>IF('TW - ASML AVR'!E30&lt;&gt;0,'Calc.'!P62,0)</f>
        <v>0</v>
      </c>
      <c r="T62" s="161">
        <f>IF('TW - ASML AVR'!E30&lt;&gt;0,'Calc.'!Q62,0)</f>
        <v>0</v>
      </c>
      <c r="U62" s="162">
        <f t="shared" ref="U62:U70" si="7">S62*I62/100</f>
        <v>0</v>
      </c>
      <c r="V62" s="162">
        <f t="shared" ref="V62:V70" si="8">T62*I62/100</f>
        <v>0</v>
      </c>
      <c r="W62" s="163">
        <f t="shared" ref="W62:W70" si="9">V62+U62</f>
        <v>0</v>
      </c>
    </row>
    <row r="63" spans="1:23" ht="15" x14ac:dyDescent="0.25">
      <c r="A63">
        <v>602387</v>
      </c>
      <c r="B63" s="149" t="s">
        <v>154</v>
      </c>
      <c r="C63">
        <v>1</v>
      </c>
      <c r="D63" s="163">
        <v>234</v>
      </c>
      <c r="E63" s="163">
        <f>D63*C63</f>
        <v>234</v>
      </c>
      <c r="F63" s="163">
        <f t="shared" ref="F63:F70" si="10">E63*$L$2</f>
        <v>327.59999999999997</v>
      </c>
      <c r="G63">
        <v>4</v>
      </c>
      <c r="H63" s="163">
        <f t="shared" si="5"/>
        <v>360</v>
      </c>
      <c r="I63" s="163">
        <f t="shared" ref="I63:I70" si="11">H63+F63</f>
        <v>687.59999999999991</v>
      </c>
      <c r="J63" s="199">
        <v>790</v>
      </c>
      <c r="K63" s="149"/>
      <c r="O63" t="str">
        <f t="shared" si="6"/>
        <v>Auslegerglied zentral / upper main lin</v>
      </c>
      <c r="P63" s="9">
        <f t="shared" ref="P63:P70" si="12">100/I63*F63</f>
        <v>47.643979057591629</v>
      </c>
      <c r="Q63" s="9">
        <f t="shared" ref="Q63:Q70" si="13">100/I63*H63</f>
        <v>52.356020942408385</v>
      </c>
      <c r="R63" s="155">
        <f t="shared" ref="R63:R70" si="14">Q63+P63</f>
        <v>100.00000000000001</v>
      </c>
      <c r="S63" s="161">
        <f>IF('TW - ASML AVR'!E31&lt;&gt;0,'Calc.'!P63,0)</f>
        <v>0</v>
      </c>
      <c r="T63" s="161">
        <f>IF('TW - ASML AVR'!E31&lt;&gt;0,'Calc.'!Q63,0)</f>
        <v>0</v>
      </c>
      <c r="U63" s="162">
        <f t="shared" si="7"/>
        <v>0</v>
      </c>
      <c r="V63" s="162">
        <f t="shared" si="8"/>
        <v>0</v>
      </c>
      <c r="W63" s="163">
        <f t="shared" si="9"/>
        <v>0</v>
      </c>
    </row>
    <row r="64" spans="1:23" ht="15" x14ac:dyDescent="0.25">
      <c r="A64">
        <v>602388</v>
      </c>
      <c r="B64" s="149" t="s">
        <v>155</v>
      </c>
      <c r="C64">
        <v>1</v>
      </c>
      <c r="D64">
        <v>257</v>
      </c>
      <c r="E64" s="163">
        <f t="shared" si="4"/>
        <v>257</v>
      </c>
      <c r="F64" s="163">
        <f t="shared" si="10"/>
        <v>359.79999999999995</v>
      </c>
      <c r="G64">
        <v>2</v>
      </c>
      <c r="H64" s="163">
        <f t="shared" si="5"/>
        <v>180</v>
      </c>
      <c r="I64" s="163">
        <f t="shared" si="11"/>
        <v>539.79999999999995</v>
      </c>
      <c r="J64" s="199">
        <v>625</v>
      </c>
      <c r="O64" t="str">
        <f t="shared" si="6"/>
        <v>Auslegerglied / second upper link</v>
      </c>
      <c r="P64" s="9">
        <f t="shared" si="12"/>
        <v>66.65431641348647</v>
      </c>
      <c r="Q64" s="9">
        <f t="shared" si="13"/>
        <v>33.345683586513523</v>
      </c>
      <c r="R64" s="155">
        <f t="shared" si="14"/>
        <v>100</v>
      </c>
      <c r="S64" s="161">
        <f>IF('TW - ASML AVR'!E32&lt;&gt;0,'Calc.'!P64,0)</f>
        <v>0</v>
      </c>
      <c r="T64" s="161">
        <f>IF('TW - ASML AVR'!E32&lt;&gt;0,'Calc.'!Q64,0)</f>
        <v>0</v>
      </c>
      <c r="U64" s="162">
        <f t="shared" si="7"/>
        <v>0</v>
      </c>
      <c r="V64" s="162">
        <f t="shared" si="8"/>
        <v>0</v>
      </c>
      <c r="W64" s="163">
        <f t="shared" si="9"/>
        <v>0</v>
      </c>
    </row>
    <row r="65" spans="1:23" ht="15" x14ac:dyDescent="0.25">
      <c r="A65">
        <v>602391</v>
      </c>
      <c r="B65" s="149" t="s">
        <v>156</v>
      </c>
      <c r="C65">
        <v>1</v>
      </c>
      <c r="D65">
        <v>348</v>
      </c>
      <c r="E65" s="163">
        <f t="shared" si="4"/>
        <v>348</v>
      </c>
      <c r="F65" s="163">
        <f t="shared" si="10"/>
        <v>487.2</v>
      </c>
      <c r="G65">
        <v>4</v>
      </c>
      <c r="H65" s="163">
        <f t="shared" si="5"/>
        <v>360</v>
      </c>
      <c r="I65" s="163">
        <f t="shared" si="11"/>
        <v>847.2</v>
      </c>
      <c r="J65" s="199">
        <v>977</v>
      </c>
      <c r="O65" t="str">
        <f t="shared" si="6"/>
        <v>Kurbel / main connector</v>
      </c>
      <c r="P65" s="9">
        <f t="shared" si="12"/>
        <v>57.507082152974505</v>
      </c>
      <c r="Q65" s="9">
        <f t="shared" si="13"/>
        <v>42.492917847025495</v>
      </c>
      <c r="R65" s="155">
        <f t="shared" si="14"/>
        <v>100</v>
      </c>
      <c r="S65" s="161">
        <f>IF('TW - ASML AVR'!E33&lt;&gt;0,'Calc.'!P65,0)</f>
        <v>0</v>
      </c>
      <c r="T65" s="161">
        <f>IF('TW - ASML AVR'!E33&lt;&gt;0,'Calc.'!Q65,0)</f>
        <v>0</v>
      </c>
      <c r="U65" s="162">
        <f t="shared" si="7"/>
        <v>0</v>
      </c>
      <c r="V65" s="162">
        <f t="shared" si="8"/>
        <v>0</v>
      </c>
      <c r="W65" s="163">
        <f t="shared" si="9"/>
        <v>0</v>
      </c>
    </row>
    <row r="66" spans="1:23" ht="15" x14ac:dyDescent="0.25">
      <c r="A66">
        <v>602411</v>
      </c>
      <c r="B66" s="149" t="s">
        <v>146</v>
      </c>
      <c r="C66">
        <v>2</v>
      </c>
      <c r="D66">
        <v>29.6</v>
      </c>
      <c r="E66" s="163">
        <f t="shared" si="4"/>
        <v>59.2</v>
      </c>
      <c r="F66" s="163">
        <f t="shared" si="10"/>
        <v>82.88</v>
      </c>
      <c r="G66">
        <v>0.5</v>
      </c>
      <c r="H66" s="163">
        <f t="shared" si="5"/>
        <v>45</v>
      </c>
      <c r="I66" s="163">
        <f t="shared" si="11"/>
        <v>127.88</v>
      </c>
      <c r="J66" s="199">
        <v>125</v>
      </c>
      <c r="O66" t="str">
        <f t="shared" si="6"/>
        <v>Koppelglied / moving connector lid</v>
      </c>
      <c r="P66" s="9">
        <f t="shared" si="12"/>
        <v>64.810760087582111</v>
      </c>
      <c r="Q66" s="9">
        <f t="shared" si="13"/>
        <v>35.189239912417889</v>
      </c>
      <c r="R66" s="155">
        <f t="shared" si="14"/>
        <v>100</v>
      </c>
      <c r="S66" s="161">
        <f>IF('TW - ASML AVR'!E34&lt;&gt;0,'Calc.'!P66,0)</f>
        <v>0</v>
      </c>
      <c r="T66" s="161">
        <f>IF('TW - ASML AVR'!E34&lt;&gt;0,'Calc.'!Q66,0)</f>
        <v>0</v>
      </c>
      <c r="U66" s="162">
        <f t="shared" si="7"/>
        <v>0</v>
      </c>
      <c r="V66" s="162">
        <f t="shared" si="8"/>
        <v>0</v>
      </c>
      <c r="W66" s="163">
        <f t="shared" si="9"/>
        <v>0</v>
      </c>
    </row>
    <row r="67" spans="1:23" ht="15" x14ac:dyDescent="0.25">
      <c r="A67" s="149" t="s">
        <v>179</v>
      </c>
      <c r="B67" s="149" t="s">
        <v>177</v>
      </c>
      <c r="C67">
        <v>1</v>
      </c>
      <c r="D67">
        <f>44+(2*29.6)+(8*5.1)+30</f>
        <v>174</v>
      </c>
      <c r="E67" s="163">
        <f t="shared" si="4"/>
        <v>174</v>
      </c>
      <c r="F67" s="163">
        <f t="shared" si="10"/>
        <v>243.6</v>
      </c>
      <c r="G67">
        <v>2</v>
      </c>
      <c r="H67" s="163">
        <f t="shared" si="5"/>
        <v>180</v>
      </c>
      <c r="I67" s="163">
        <f t="shared" si="11"/>
        <v>423.6</v>
      </c>
      <c r="J67" s="199">
        <v>670</v>
      </c>
      <c r="K67" s="149"/>
      <c r="O67" t="str">
        <f t="shared" si="6"/>
        <v>Koppelgliedverbindung / moving connector assy</v>
      </c>
      <c r="P67" s="9">
        <f t="shared" si="12"/>
        <v>57.507082152974505</v>
      </c>
      <c r="Q67" s="9">
        <f t="shared" si="13"/>
        <v>42.492917847025495</v>
      </c>
      <c r="R67" s="155">
        <f t="shared" si="14"/>
        <v>100</v>
      </c>
      <c r="S67" s="161">
        <f>IF('TW - ASML AVR'!E35&lt;&gt;0,'Calc.'!P67,0)</f>
        <v>0</v>
      </c>
      <c r="T67" s="161">
        <f>IF('TW - ASML AVR'!E35&lt;&gt;0,'Calc.'!Q67,0)</f>
        <v>0</v>
      </c>
      <c r="U67" s="162">
        <f t="shared" si="7"/>
        <v>0</v>
      </c>
      <c r="V67" s="162">
        <f t="shared" si="8"/>
        <v>0</v>
      </c>
      <c r="W67" s="163">
        <f t="shared" si="9"/>
        <v>0</v>
      </c>
    </row>
    <row r="68" spans="1:23" ht="15" x14ac:dyDescent="0.25">
      <c r="A68">
        <v>604405</v>
      </c>
      <c r="B68" s="149" t="s">
        <v>157</v>
      </c>
      <c r="C68">
        <v>1</v>
      </c>
      <c r="D68">
        <v>120</v>
      </c>
      <c r="E68" s="163">
        <f t="shared" si="4"/>
        <v>120</v>
      </c>
      <c r="F68" s="163">
        <f t="shared" si="10"/>
        <v>168</v>
      </c>
      <c r="G68">
        <v>1.5</v>
      </c>
      <c r="H68" s="163">
        <f t="shared" si="5"/>
        <v>135</v>
      </c>
      <c r="I68" s="163">
        <f t="shared" si="11"/>
        <v>303</v>
      </c>
      <c r="J68" s="199">
        <v>365</v>
      </c>
      <c r="O68" t="str">
        <f t="shared" si="6"/>
        <v>Einpressbuchse Polygon /Polygon bush</v>
      </c>
      <c r="P68" s="9">
        <f t="shared" si="12"/>
        <v>55.445544554455445</v>
      </c>
      <c r="Q68" s="9">
        <f t="shared" si="13"/>
        <v>44.554455445544555</v>
      </c>
      <c r="R68" s="155">
        <f t="shared" si="14"/>
        <v>100</v>
      </c>
      <c r="S68" s="161">
        <f>IF('TW - ASML AVR'!E36&lt;&gt;0,'Calc.'!P68,0)</f>
        <v>0</v>
      </c>
      <c r="T68" s="161">
        <f>IF('TW - ASML AVR'!E36&lt;&gt;0,'Calc.'!Q68,0)</f>
        <v>0</v>
      </c>
      <c r="U68" s="162">
        <f t="shared" si="7"/>
        <v>0</v>
      </c>
      <c r="V68" s="162">
        <f t="shared" si="8"/>
        <v>0</v>
      </c>
      <c r="W68" s="163">
        <f t="shared" si="9"/>
        <v>0</v>
      </c>
    </row>
    <row r="69" spans="1:23" ht="15" x14ac:dyDescent="0.25">
      <c r="A69">
        <v>602348</v>
      </c>
      <c r="B69" s="149" t="s">
        <v>158</v>
      </c>
      <c r="C69" s="149">
        <v>1</v>
      </c>
      <c r="D69">
        <v>63.4</v>
      </c>
      <c r="E69" s="163">
        <f t="shared" si="4"/>
        <v>63.4</v>
      </c>
      <c r="F69" s="163">
        <f t="shared" si="10"/>
        <v>88.759999999999991</v>
      </c>
      <c r="G69">
        <v>0.75</v>
      </c>
      <c r="H69" s="163">
        <f t="shared" si="5"/>
        <v>67.5</v>
      </c>
      <c r="I69" s="163">
        <f t="shared" si="11"/>
        <v>156.26</v>
      </c>
      <c r="J69" s="199">
        <v>175</v>
      </c>
      <c r="O69" t="str">
        <f t="shared" si="6"/>
        <v>Endeffektorhalter / Arm-gripper interface</v>
      </c>
      <c r="P69" s="9">
        <f t="shared" si="12"/>
        <v>56.802764623064121</v>
      </c>
      <c r="Q69" s="9">
        <f t="shared" si="13"/>
        <v>43.197235376935879</v>
      </c>
      <c r="R69" s="155">
        <f t="shared" si="14"/>
        <v>100</v>
      </c>
      <c r="S69" s="161">
        <f>IF('TW - ASML AVR'!E37&lt;&gt;0,'Calc.'!P69,0)</f>
        <v>0</v>
      </c>
      <c r="T69" s="161">
        <f>IF('TW - ASML AVR'!E37&lt;&gt;0,'Calc.'!Q69,0)</f>
        <v>0</v>
      </c>
      <c r="U69" s="162">
        <f>S69*I69/100</f>
        <v>0</v>
      </c>
      <c r="V69" s="162">
        <f>T69*I69/100</f>
        <v>0</v>
      </c>
      <c r="W69" s="163">
        <f t="shared" si="9"/>
        <v>0</v>
      </c>
    </row>
    <row r="70" spans="1:23" ht="15" x14ac:dyDescent="0.25">
      <c r="A70" s="200" t="s">
        <v>159</v>
      </c>
      <c r="B70" s="149" t="s">
        <v>15</v>
      </c>
      <c r="C70">
        <v>1</v>
      </c>
      <c r="D70">
        <f>377.76+252.78</f>
        <v>630.54</v>
      </c>
      <c r="E70" s="163">
        <f t="shared" si="4"/>
        <v>630.54</v>
      </c>
      <c r="F70" s="163">
        <f t="shared" si="10"/>
        <v>882.75599999999986</v>
      </c>
      <c r="G70">
        <v>2</v>
      </c>
      <c r="H70" s="163">
        <f t="shared" si="5"/>
        <v>180</v>
      </c>
      <c r="I70" s="163">
        <f t="shared" si="11"/>
        <v>1062.7559999999999</v>
      </c>
      <c r="J70" s="199">
        <v>1066</v>
      </c>
      <c r="O70" t="str">
        <f t="shared" si="6"/>
        <v>belt-reel upgrade</v>
      </c>
      <c r="P70" s="9">
        <f t="shared" si="12"/>
        <v>83.062904373158091</v>
      </c>
      <c r="Q70" s="9">
        <f t="shared" si="13"/>
        <v>16.937095626841913</v>
      </c>
      <c r="R70" s="155">
        <f t="shared" si="14"/>
        <v>100</v>
      </c>
      <c r="S70" s="161">
        <f>IF('TW - ASML AVR'!E38&lt;&gt;0,'Calc.'!P70,0)</f>
        <v>0</v>
      </c>
      <c r="T70" s="161">
        <f>IF('TW - ASML AVR'!E38&lt;&gt;0,'Calc.'!Q70,0)</f>
        <v>0</v>
      </c>
      <c r="U70" s="162">
        <f t="shared" si="7"/>
        <v>0</v>
      </c>
      <c r="V70" s="162">
        <f t="shared" si="8"/>
        <v>0</v>
      </c>
      <c r="W70" s="163">
        <f t="shared" si="9"/>
        <v>0</v>
      </c>
    </row>
    <row r="71" spans="1:23" x14ac:dyDescent="0.2">
      <c r="I71" s="163">
        <f t="shared" ref="I71:I72" si="15">G71+F71</f>
        <v>0</v>
      </c>
      <c r="J71" s="199"/>
      <c r="O71">
        <f t="shared" si="6"/>
        <v>0</v>
      </c>
      <c r="P71" s="9"/>
      <c r="Q71" s="9"/>
      <c r="S71" s="161">
        <f>IF('TW - ASML AVR'!E39&lt;&gt;0,'Calc.'!P71,0)</f>
        <v>0</v>
      </c>
      <c r="T71" s="161">
        <f>IF('TW - ASML AVR'!E39&lt;&gt;0,'Calc.'!Q71,0)</f>
        <v>0</v>
      </c>
    </row>
    <row r="72" spans="1:23" x14ac:dyDescent="0.2">
      <c r="I72" s="163">
        <f t="shared" si="15"/>
        <v>0</v>
      </c>
      <c r="J72" s="199"/>
      <c r="P72" s="9"/>
      <c r="Q72" s="9"/>
    </row>
    <row r="73" spans="1:23" x14ac:dyDescent="0.2">
      <c r="J73" s="199"/>
      <c r="P73" s="9"/>
      <c r="Q73" s="9"/>
    </row>
    <row r="74" spans="1:23" ht="15" x14ac:dyDescent="0.25">
      <c r="A74" s="174" t="s">
        <v>63</v>
      </c>
      <c r="F74" s="175"/>
      <c r="G74" s="155"/>
      <c r="H74" s="176"/>
      <c r="I74" s="176"/>
      <c r="J74" s="199"/>
      <c r="O74" t="str">
        <f>A74</f>
        <v xml:space="preserve">slip-ring </v>
      </c>
      <c r="P74" s="9">
        <f>100/G78*G76</f>
        <v>68.798751950078</v>
      </c>
      <c r="Q74" s="9">
        <f>100/G78*G77</f>
        <v>31.201248049922</v>
      </c>
      <c r="R74" s="155">
        <f>Q74+P74</f>
        <v>100</v>
      </c>
      <c r="S74" s="161">
        <f>IF('TW - ASML AVR'!E44&lt;&gt;0,'Calc.'!P74,0)</f>
        <v>0</v>
      </c>
      <c r="T74" s="161">
        <f>IF('TW - ASML AVR'!E44&lt;&gt;0,'Calc.'!Q74,0)</f>
        <v>0</v>
      </c>
      <c r="U74" s="162">
        <f>S74*G78/100</f>
        <v>0</v>
      </c>
      <c r="V74" s="162">
        <f>T74*G78/100</f>
        <v>0</v>
      </c>
      <c r="W74" s="163">
        <f>V74+U74</f>
        <v>0</v>
      </c>
    </row>
    <row r="75" spans="1:23" ht="15" x14ac:dyDescent="0.25">
      <c r="A75" s="287" t="s">
        <v>102</v>
      </c>
      <c r="B75" s="288"/>
      <c r="C75" s="288"/>
      <c r="D75" s="288"/>
      <c r="E75" s="289"/>
      <c r="F75" s="175"/>
      <c r="G75" s="155"/>
      <c r="H75" s="176"/>
      <c r="I75" s="176"/>
      <c r="J75" s="199"/>
      <c r="P75" s="9"/>
      <c r="Q75" s="9"/>
      <c r="S75"/>
      <c r="T75"/>
      <c r="U75"/>
      <c r="V75"/>
    </row>
    <row r="76" spans="1:23" ht="15" x14ac:dyDescent="0.25">
      <c r="A76" s="179"/>
      <c r="B76" s="155"/>
      <c r="C76" s="178"/>
      <c r="D76" s="155"/>
      <c r="E76" s="201"/>
      <c r="F76" s="175" t="s">
        <v>108</v>
      </c>
      <c r="G76" s="176">
        <v>396.9</v>
      </c>
      <c r="H76" s="176"/>
      <c r="I76" s="176"/>
      <c r="J76" s="199"/>
      <c r="P76" s="9"/>
      <c r="Q76" s="9"/>
      <c r="S76"/>
      <c r="T76"/>
      <c r="U76"/>
      <c r="V76"/>
    </row>
    <row r="77" spans="1:23" ht="15" x14ac:dyDescent="0.25">
      <c r="A77" s="179"/>
      <c r="B77" s="155" t="s">
        <v>164</v>
      </c>
      <c r="C77" s="178"/>
      <c r="D77" s="155"/>
      <c r="E77" s="201"/>
      <c r="F77" s="175" t="s">
        <v>47</v>
      </c>
      <c r="G77" s="176">
        <v>180</v>
      </c>
      <c r="H77" s="176"/>
      <c r="I77" s="176"/>
      <c r="J77" s="199"/>
      <c r="P77" s="9"/>
      <c r="Q77" s="9"/>
      <c r="S77"/>
      <c r="T77"/>
      <c r="U77"/>
      <c r="V77"/>
    </row>
    <row r="78" spans="1:23" ht="15" x14ac:dyDescent="0.25">
      <c r="A78" s="202"/>
      <c r="B78" s="203"/>
      <c r="C78" s="204"/>
      <c r="D78" s="203"/>
      <c r="E78" s="205"/>
      <c r="F78" s="175" t="s">
        <v>112</v>
      </c>
      <c r="G78" s="176">
        <v>576.9</v>
      </c>
      <c r="H78" s="176"/>
      <c r="I78" s="176"/>
      <c r="J78" s="199"/>
      <c r="P78" s="9"/>
      <c r="Q78" s="9"/>
      <c r="S78"/>
      <c r="T78"/>
      <c r="U78"/>
      <c r="V78"/>
    </row>
    <row r="79" spans="1:23" x14ac:dyDescent="0.2">
      <c r="J79" s="199"/>
      <c r="P79" s="9"/>
      <c r="Q79" s="9"/>
    </row>
    <row r="80" spans="1:23" x14ac:dyDescent="0.2">
      <c r="J80" s="199"/>
      <c r="P80" s="9"/>
      <c r="Q80" s="9"/>
    </row>
    <row r="81" spans="1:23" x14ac:dyDescent="0.2">
      <c r="J81" s="199"/>
      <c r="P81" s="9"/>
      <c r="Q81" s="9"/>
    </row>
    <row r="82" spans="1:23" ht="15" x14ac:dyDescent="0.25">
      <c r="A82" s="174"/>
      <c r="D82" t="s">
        <v>108</v>
      </c>
      <c r="F82" t="s">
        <v>148</v>
      </c>
      <c r="G82" t="s">
        <v>47</v>
      </c>
      <c r="H82" t="s">
        <v>149</v>
      </c>
      <c r="I82" s="185" t="s">
        <v>112</v>
      </c>
      <c r="J82" s="199"/>
      <c r="P82" s="9"/>
      <c r="Q82" s="9"/>
    </row>
    <row r="83" spans="1:23" ht="15" x14ac:dyDescent="0.25">
      <c r="A83" s="242">
        <v>400384</v>
      </c>
      <c r="B83" s="149" t="s">
        <v>210</v>
      </c>
      <c r="F83" s="175"/>
      <c r="G83" s="176"/>
      <c r="J83" s="199"/>
      <c r="P83" s="9"/>
      <c r="Q83" s="9"/>
    </row>
    <row r="84" spans="1:23" ht="15" x14ac:dyDescent="0.25">
      <c r="A84" s="149" t="s">
        <v>201</v>
      </c>
      <c r="B84" s="174" t="s">
        <v>167</v>
      </c>
      <c r="C84">
        <v>1</v>
      </c>
      <c r="D84">
        <v>268.5</v>
      </c>
      <c r="E84" s="163">
        <f t="shared" ref="E84:E90" si="16">D84*C84</f>
        <v>268.5</v>
      </c>
      <c r="F84" s="163">
        <f t="shared" ref="F84:F90" si="17">E84*$L$2</f>
        <v>375.9</v>
      </c>
      <c r="G84">
        <v>1</v>
      </c>
      <c r="H84" s="163">
        <f t="shared" ref="H84:H91" si="18">G84*$L$1</f>
        <v>90</v>
      </c>
      <c r="I84" s="163">
        <f t="shared" ref="I84:I91" si="19">H84+F84</f>
        <v>465.9</v>
      </c>
      <c r="J84" s="199">
        <v>595</v>
      </c>
      <c r="O84" t="str">
        <f t="shared" ref="O84" si="20">B84</f>
        <v>Kabelhaube = SCARA / NT</v>
      </c>
      <c r="P84" s="9">
        <f t="shared" ref="P84" si="21">100/I84*F84</f>
        <v>80.682549903412749</v>
      </c>
      <c r="Q84" s="9">
        <f t="shared" ref="Q84" si="22">100/I84*H84</f>
        <v>19.317450096587251</v>
      </c>
      <c r="R84" s="155"/>
      <c r="S84" s="161">
        <f>IF('TW - ASML AVR'!E41&lt;&gt;0,'Calc.'!P84,0)</f>
        <v>0</v>
      </c>
      <c r="T84" s="161">
        <f>IF('TW - ASML AVR'!E41&lt;&gt;0,'Calc.'!Q84,0)</f>
        <v>0</v>
      </c>
      <c r="U84" s="162">
        <f t="shared" ref="U84" si="23">S84*I84/100</f>
        <v>0</v>
      </c>
      <c r="V84" s="162">
        <f t="shared" ref="V84" si="24">T84*I84/100</f>
        <v>0</v>
      </c>
      <c r="W84" s="163">
        <f t="shared" ref="W84" si="25">V84+U84</f>
        <v>0</v>
      </c>
    </row>
    <row r="85" spans="1:23" ht="15" x14ac:dyDescent="0.25">
      <c r="A85" s="18">
        <v>604303</v>
      </c>
      <c r="B85" s="149" t="s">
        <v>168</v>
      </c>
      <c r="C85">
        <v>1</v>
      </c>
      <c r="D85">
        <v>271.7</v>
      </c>
      <c r="E85" s="163">
        <f t="shared" si="16"/>
        <v>271.7</v>
      </c>
      <c r="F85" s="163">
        <f t="shared" si="17"/>
        <v>380.37999999999994</v>
      </c>
      <c r="G85">
        <v>1</v>
      </c>
      <c r="H85" s="163">
        <f t="shared" si="18"/>
        <v>90</v>
      </c>
      <c r="I85" s="163">
        <f t="shared" si="19"/>
        <v>470.37999999999994</v>
      </c>
      <c r="J85" s="199">
        <v>550</v>
      </c>
      <c r="O85" t="str">
        <f t="shared" ref="O85" si="26">B85</f>
        <v>Hubrohr DM = SCARA / NT</v>
      </c>
      <c r="P85" s="9">
        <f t="shared" ref="P85" si="27">100/I85*F85</f>
        <v>80.866533441047665</v>
      </c>
      <c r="Q85" s="9">
        <f t="shared" ref="Q85" si="28">100/I85*H85</f>
        <v>19.133466558952339</v>
      </c>
      <c r="R85" s="155"/>
      <c r="S85" s="161">
        <f>IF('TW - ASML AVR'!E42&lt;&gt;0,'Calc.'!P85,0)</f>
        <v>0</v>
      </c>
      <c r="T85" s="161">
        <f>IF('TW - ASML AVR'!E42&lt;&gt;0,'Calc.'!Q85,0)</f>
        <v>0</v>
      </c>
      <c r="U85" s="162">
        <f t="shared" ref="U85" si="29">S85*I85/100</f>
        <v>0</v>
      </c>
      <c r="V85" s="162">
        <f t="shared" ref="V85" si="30">T85*I85/100</f>
        <v>0</v>
      </c>
      <c r="W85" s="163">
        <f t="shared" ref="W85" si="31">V85+U85</f>
        <v>0</v>
      </c>
    </row>
    <row r="86" spans="1:23" ht="15" x14ac:dyDescent="0.25">
      <c r="A86">
        <v>604336</v>
      </c>
      <c r="B86" s="149" t="s">
        <v>169</v>
      </c>
      <c r="C86">
        <v>1</v>
      </c>
      <c r="D86">
        <v>23.15</v>
      </c>
      <c r="E86" s="163">
        <f t="shared" si="16"/>
        <v>23.15</v>
      </c>
      <c r="F86" s="163">
        <f t="shared" si="17"/>
        <v>32.409999999999997</v>
      </c>
      <c r="G86">
        <v>0.5</v>
      </c>
      <c r="H86" s="163">
        <f t="shared" si="18"/>
        <v>45</v>
      </c>
      <c r="I86" s="163">
        <f t="shared" si="19"/>
        <v>77.41</v>
      </c>
      <c r="J86" s="199">
        <v>95</v>
      </c>
      <c r="O86" t="str">
        <f t="shared" ref="O86:O88" si="32">B86</f>
        <v>Deckel DM = Scara / NT</v>
      </c>
      <c r="P86" s="9">
        <f t="shared" ref="P86:P87" si="33">100/I86*F86</f>
        <v>41.867975713732072</v>
      </c>
      <c r="Q86" s="9">
        <f t="shared" ref="Q86:Q87" si="34">100/I86*H86</f>
        <v>58.132024286267928</v>
      </c>
      <c r="R86" s="155"/>
      <c r="S86" s="161">
        <f>IF('TW - ASML AVR'!E43&lt;&gt;0,'Calc.'!P86,0)</f>
        <v>0</v>
      </c>
      <c r="T86" s="161">
        <f>IF('TW - ASML AVR'!E43&lt;&gt;0,'Calc.'!Q86,0)</f>
        <v>0</v>
      </c>
      <c r="U86" s="162">
        <f>S86*I86/100</f>
        <v>0</v>
      </c>
      <c r="V86" s="162">
        <f t="shared" ref="V86:V87" si="35">T86*I86/100</f>
        <v>0</v>
      </c>
      <c r="W86" s="163">
        <f t="shared" ref="W86:W87" si="36">V86+U86</f>
        <v>0</v>
      </c>
    </row>
    <row r="87" spans="1:23" ht="15" x14ac:dyDescent="0.25">
      <c r="A87">
        <v>610854</v>
      </c>
      <c r="B87" s="149" t="s">
        <v>171</v>
      </c>
      <c r="C87">
        <v>1</v>
      </c>
      <c r="D87">
        <v>94.8</v>
      </c>
      <c r="E87" s="163">
        <f t="shared" si="16"/>
        <v>94.8</v>
      </c>
      <c r="F87" s="163">
        <f t="shared" si="17"/>
        <v>132.72</v>
      </c>
      <c r="G87">
        <v>0.5</v>
      </c>
      <c r="H87" s="163">
        <f t="shared" si="18"/>
        <v>45</v>
      </c>
      <c r="I87" s="163">
        <f t="shared" si="19"/>
        <v>177.72</v>
      </c>
      <c r="J87" s="199">
        <v>200</v>
      </c>
      <c r="O87" t="str">
        <f t="shared" si="32"/>
        <v>Kurbelflansch DM = Scara / NT</v>
      </c>
      <c r="P87" s="9">
        <f t="shared" si="33"/>
        <v>74.679270762997987</v>
      </c>
      <c r="Q87" s="9">
        <f t="shared" si="34"/>
        <v>25.320729237002027</v>
      </c>
      <c r="R87" s="155"/>
      <c r="S87" s="161">
        <f>IF('TW - ASML AVR'!E45&lt;&gt;0,'Calc.'!P87,0)</f>
        <v>0</v>
      </c>
      <c r="T87" s="161">
        <f>IF('TW - ASML AVR'!E45&lt;&gt;0,'Calc.'!Q87,0)</f>
        <v>0</v>
      </c>
      <c r="U87" s="162">
        <f t="shared" ref="U87" si="37">S87*I87/100</f>
        <v>0</v>
      </c>
      <c r="V87" s="162">
        <f t="shared" si="35"/>
        <v>0</v>
      </c>
      <c r="W87" s="163">
        <f t="shared" si="36"/>
        <v>0</v>
      </c>
    </row>
    <row r="88" spans="1:23" ht="15" x14ac:dyDescent="0.25">
      <c r="A88">
        <v>900119</v>
      </c>
      <c r="B88" s="149" t="s">
        <v>173</v>
      </c>
      <c r="C88">
        <v>1</v>
      </c>
      <c r="D88">
        <v>96</v>
      </c>
      <c r="E88" s="163">
        <f t="shared" si="16"/>
        <v>96</v>
      </c>
      <c r="F88" s="163">
        <f t="shared" si="17"/>
        <v>134.39999999999998</v>
      </c>
      <c r="G88">
        <v>2.5</v>
      </c>
      <c r="H88" s="163">
        <f t="shared" si="18"/>
        <v>225</v>
      </c>
      <c r="I88" s="163">
        <f t="shared" si="19"/>
        <v>359.4</v>
      </c>
      <c r="J88" s="199">
        <v>325</v>
      </c>
      <c r="O88" t="str">
        <f t="shared" si="32"/>
        <v>Z-Triebgehäuse</v>
      </c>
      <c r="P88" s="9">
        <f t="shared" ref="P88" si="38">100/I88*F88</f>
        <v>37.395659432387312</v>
      </c>
      <c r="Q88" s="9">
        <f t="shared" ref="Q88" si="39">100/I88*H88</f>
        <v>62.604340567612695</v>
      </c>
      <c r="R88" s="155"/>
      <c r="S88" s="161">
        <f>IF('TW - ASML AVR'!E49&lt;&gt;0,'Calc.'!P88,0)</f>
        <v>0</v>
      </c>
      <c r="T88" s="161">
        <f>IF('TW - ASML AVR'!E49&lt;&gt;0,'Calc.'!Q88,0)</f>
        <v>0</v>
      </c>
      <c r="U88" s="162">
        <f t="shared" ref="U88" si="40">S88*I88/100</f>
        <v>0</v>
      </c>
      <c r="V88" s="162">
        <f t="shared" ref="V88" si="41">T88*I88/100</f>
        <v>0</v>
      </c>
      <c r="W88" s="163">
        <f t="shared" ref="W88" si="42">V88+U88</f>
        <v>0</v>
      </c>
    </row>
    <row r="89" spans="1:23" ht="15" x14ac:dyDescent="0.25">
      <c r="A89">
        <v>602900</v>
      </c>
      <c r="B89" t="s">
        <v>174</v>
      </c>
      <c r="C89">
        <v>1</v>
      </c>
      <c r="D89">
        <v>271</v>
      </c>
      <c r="E89" s="163">
        <f t="shared" si="16"/>
        <v>271</v>
      </c>
      <c r="F89" s="163">
        <f t="shared" si="17"/>
        <v>379.4</v>
      </c>
      <c r="G89">
        <v>4</v>
      </c>
      <c r="H89" s="163">
        <f t="shared" si="18"/>
        <v>360</v>
      </c>
      <c r="I89" s="163">
        <f t="shared" si="19"/>
        <v>739.4</v>
      </c>
      <c r="J89" s="199">
        <v>700</v>
      </c>
      <c r="O89" t="str">
        <f t="shared" ref="O89:O90" si="43">B89</f>
        <v>Interfaceplate</v>
      </c>
      <c r="P89" s="9">
        <f t="shared" ref="P89" si="44">100/I89*F89</f>
        <v>51.311874492832025</v>
      </c>
      <c r="Q89" s="9">
        <f t="shared" ref="Q89:Q90" si="45">100/I89*H89</f>
        <v>48.688125507167982</v>
      </c>
      <c r="R89" s="155"/>
      <c r="S89" s="161">
        <f>IF('TW - ASML AVR'!E50&lt;&gt;0,'Calc.'!P89,0)</f>
        <v>0</v>
      </c>
      <c r="T89" s="161">
        <f>IF('TW - ASML AVR'!E50&lt;&gt;0,'Calc.'!Q89,0)</f>
        <v>0</v>
      </c>
      <c r="U89" s="162">
        <f t="shared" ref="U89" si="46">S89*I89/100</f>
        <v>0</v>
      </c>
      <c r="V89" s="162">
        <f t="shared" ref="V89" si="47">T89*I89/100</f>
        <v>0</v>
      </c>
      <c r="W89" s="163">
        <f t="shared" ref="W89" si="48">V89+U89</f>
        <v>0</v>
      </c>
    </row>
    <row r="90" spans="1:23" ht="15" x14ac:dyDescent="0.25">
      <c r="A90" t="s">
        <v>175</v>
      </c>
      <c r="B90" t="s">
        <v>176</v>
      </c>
      <c r="C90">
        <v>1</v>
      </c>
      <c r="D90">
        <v>85.6</v>
      </c>
      <c r="E90" s="163">
        <f t="shared" si="16"/>
        <v>85.6</v>
      </c>
      <c r="F90" s="163">
        <f t="shared" si="17"/>
        <v>119.83999999999999</v>
      </c>
      <c r="G90">
        <v>0.5</v>
      </c>
      <c r="H90" s="163">
        <f t="shared" si="18"/>
        <v>45</v>
      </c>
      <c r="I90" s="163">
        <f t="shared" si="19"/>
        <v>164.83999999999997</v>
      </c>
      <c r="J90" s="199">
        <v>180</v>
      </c>
      <c r="O90" t="str">
        <f t="shared" si="43"/>
        <v>Adapterkabel f. Z-Trieb</v>
      </c>
      <c r="P90" s="9">
        <f>100/I90*F90</f>
        <v>72.700800776510562</v>
      </c>
      <c r="Q90" s="9">
        <f t="shared" si="45"/>
        <v>27.299199223489449</v>
      </c>
      <c r="R90" s="155"/>
      <c r="S90" s="161">
        <f>IF('TW - ASML AVR'!E52&lt;&gt;0,'Calc.'!P90,0)</f>
        <v>0</v>
      </c>
      <c r="T90" s="161">
        <f>IF('TW - ASML AVR'!E52&lt;&gt;0,'Calc.'!Q90,0)</f>
        <v>0</v>
      </c>
      <c r="U90" s="162">
        <f t="shared" ref="U90" si="49">S90*I90/100</f>
        <v>0</v>
      </c>
      <c r="V90" s="162">
        <f t="shared" ref="V90" si="50">T90*I90/100</f>
        <v>0</v>
      </c>
      <c r="W90" s="163">
        <f t="shared" ref="W90" si="51">V90+U90</f>
        <v>0</v>
      </c>
    </row>
    <row r="91" spans="1:23" x14ac:dyDescent="0.2">
      <c r="A91">
        <v>605797</v>
      </c>
      <c r="B91" s="149" t="s">
        <v>211</v>
      </c>
      <c r="C91">
        <v>1</v>
      </c>
      <c r="D91">
        <v>41.8</v>
      </c>
      <c r="E91" s="163">
        <f>D91*C91</f>
        <v>41.8</v>
      </c>
      <c r="F91" s="163">
        <f>E91*$L$2</f>
        <v>58.519999999999989</v>
      </c>
      <c r="G91">
        <v>0.5</v>
      </c>
      <c r="H91" s="163">
        <f t="shared" si="18"/>
        <v>45</v>
      </c>
      <c r="I91" s="163">
        <f t="shared" si="19"/>
        <v>103.51999999999998</v>
      </c>
      <c r="J91" s="199"/>
      <c r="O91" t="str">
        <f>B91</f>
        <v>Einsatz m. Steckerplatte/connector panel assy</v>
      </c>
      <c r="P91" s="9"/>
      <c r="Q91" s="9"/>
      <c r="U91" s="162"/>
      <c r="V91" s="162"/>
      <c r="W91" s="163"/>
    </row>
    <row r="92" spans="1:23" x14ac:dyDescent="0.2">
      <c r="J92" s="199"/>
      <c r="P92" s="9"/>
      <c r="Q92" s="9"/>
    </row>
    <row r="93" spans="1:23" x14ac:dyDescent="0.2">
      <c r="J93" s="199"/>
      <c r="P93" s="9"/>
      <c r="Q93" s="9"/>
    </row>
    <row r="94" spans="1:23" x14ac:dyDescent="0.2">
      <c r="J94" s="199"/>
      <c r="P94" s="9"/>
      <c r="Q94" s="9"/>
    </row>
    <row r="95" spans="1:23" x14ac:dyDescent="0.2">
      <c r="J95" s="199"/>
      <c r="P95" s="9"/>
      <c r="Q95" s="9"/>
    </row>
    <row r="96" spans="1:23" x14ac:dyDescent="0.2">
      <c r="J96" s="199"/>
      <c r="P96" s="9"/>
      <c r="Q96" s="9"/>
    </row>
    <row r="97" spans="1:23" ht="15" x14ac:dyDescent="0.25">
      <c r="A97" s="174" t="s">
        <v>165</v>
      </c>
      <c r="B97" s="97"/>
      <c r="C97" s="97"/>
      <c r="D97" s="97"/>
      <c r="E97" s="97"/>
      <c r="F97" s="175"/>
      <c r="G97" s="155"/>
      <c r="H97" s="176"/>
      <c r="I97" s="176"/>
      <c r="J97" s="199"/>
      <c r="K97" s="97"/>
      <c r="L97" s="97"/>
      <c r="M97" s="97"/>
      <c r="N97" s="97"/>
      <c r="O97" t="str">
        <f>A97</f>
        <v xml:space="preserve">Clamping flange </v>
      </c>
      <c r="P97" s="9">
        <f>100/G101*G99</f>
        <v>73.546292342392334</v>
      </c>
      <c r="Q97" s="9">
        <f>100/G101*G100</f>
        <v>26.453707657607666</v>
      </c>
      <c r="R97" s="155"/>
      <c r="S97" s="161">
        <f>IF('TW - ASML AVR'!E51&lt;&gt;0,'Calc.'!P97,0)</f>
        <v>0</v>
      </c>
      <c r="T97" s="161">
        <f>IF('TW - ASML AVR'!F51&lt;&gt;0,'Calc.'!Q97,0)</f>
        <v>0</v>
      </c>
      <c r="U97" s="162">
        <f>S97*G101/100</f>
        <v>0</v>
      </c>
      <c r="V97" s="162">
        <f>T97*G101/100</f>
        <v>0</v>
      </c>
      <c r="W97" s="163">
        <f>V97+U97</f>
        <v>0</v>
      </c>
    </row>
    <row r="98" spans="1:23" ht="15" x14ac:dyDescent="0.25">
      <c r="A98" s="287" t="s">
        <v>102</v>
      </c>
      <c r="B98" s="288"/>
      <c r="C98" s="288"/>
      <c r="D98" s="288"/>
      <c r="E98" s="289"/>
      <c r="F98" s="175"/>
      <c r="G98" s="155"/>
      <c r="H98" s="176"/>
      <c r="I98" s="176"/>
      <c r="J98" s="199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</row>
    <row r="99" spans="1:23" ht="15" x14ac:dyDescent="0.25">
      <c r="A99" s="179"/>
      <c r="B99" s="155"/>
      <c r="C99" s="178"/>
      <c r="D99" s="155"/>
      <c r="E99" s="176"/>
      <c r="F99" s="175" t="s">
        <v>108</v>
      </c>
      <c r="G99" s="176">
        <v>312.77119999999996</v>
      </c>
      <c r="H99" s="176"/>
      <c r="I99" s="176"/>
      <c r="J99" s="199">
        <v>360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</row>
    <row r="100" spans="1:23" ht="15" x14ac:dyDescent="0.25">
      <c r="A100" s="179"/>
      <c r="B100" s="155" t="s">
        <v>164</v>
      </c>
      <c r="C100" s="178"/>
      <c r="D100" s="155"/>
      <c r="E100" s="176"/>
      <c r="F100" s="206" t="s">
        <v>47</v>
      </c>
      <c r="G100" s="207">
        <v>112.5</v>
      </c>
      <c r="H100" s="176"/>
      <c r="I100" s="176"/>
      <c r="J100" s="199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</row>
    <row r="101" spans="1:23" ht="15" x14ac:dyDescent="0.25">
      <c r="A101" s="179"/>
      <c r="B101" s="155"/>
      <c r="C101" s="178"/>
      <c r="D101" s="155"/>
      <c r="E101" s="176"/>
      <c r="F101" s="206" t="s">
        <v>112</v>
      </c>
      <c r="G101" s="207">
        <v>425.27119999999996</v>
      </c>
      <c r="H101" s="176"/>
      <c r="I101" s="176"/>
      <c r="J101" s="199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</row>
    <row r="102" spans="1:23" ht="15" x14ac:dyDescent="0.25">
      <c r="A102" s="177"/>
      <c r="B102" s="155"/>
      <c r="C102" s="178"/>
      <c r="D102" s="155"/>
      <c r="E102" s="176"/>
      <c r="F102" s="97"/>
      <c r="G102" s="97"/>
      <c r="H102" s="176"/>
      <c r="I102" s="176"/>
      <c r="J102" s="199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</row>
    <row r="103" spans="1:23" ht="15" x14ac:dyDescent="0.25">
      <c r="A103" s="209"/>
      <c r="B103" s="203"/>
      <c r="C103" s="204"/>
      <c r="D103" s="203"/>
      <c r="E103" s="205"/>
      <c r="F103" s="97"/>
      <c r="G103" s="97"/>
      <c r="H103" s="97"/>
      <c r="I103" s="97"/>
      <c r="J103" s="199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</row>
    <row r="104" spans="1:23" ht="15" x14ac:dyDescent="0.25">
      <c r="A104" s="158" t="s">
        <v>202</v>
      </c>
      <c r="B104" s="228"/>
      <c r="C104" s="229"/>
      <c r="D104" s="228"/>
      <c r="E104" s="228"/>
      <c r="F104" s="230" t="s">
        <v>47</v>
      </c>
      <c r="G104" s="228">
        <v>6</v>
      </c>
      <c r="H104" s="231">
        <v>1495</v>
      </c>
      <c r="I104" s="232">
        <f>H104-G108</f>
        <v>266.31200000000013</v>
      </c>
      <c r="N104" s="97"/>
      <c r="O104" t="str">
        <f>A104</f>
        <v>Hollow shaft</v>
      </c>
      <c r="P104" s="9">
        <f>100/G108*G106</f>
        <v>56.050681702759363</v>
      </c>
      <c r="Q104" s="9">
        <f>100/G108*G107</f>
        <v>43.949318297240644</v>
      </c>
      <c r="R104" s="97"/>
      <c r="S104" s="161">
        <f>IF('TW - ASML AVR'!E46&lt;&gt;0,'Calc.'!P104,0)</f>
        <v>0</v>
      </c>
      <c r="T104" s="161">
        <f>IF('TW - ASML AVR'!F46&lt;&gt;0,'Calc.'!Q104,0)</f>
        <v>0</v>
      </c>
      <c r="U104" s="162">
        <f>S104*G108/100</f>
        <v>0</v>
      </c>
      <c r="V104" s="162">
        <f>T104*G108/100</f>
        <v>0</v>
      </c>
      <c r="W104" s="163">
        <f>V104+U104</f>
        <v>0</v>
      </c>
    </row>
    <row r="105" spans="1:23" ht="15" x14ac:dyDescent="0.25">
      <c r="A105" s="284" t="s">
        <v>102</v>
      </c>
      <c r="B105" s="285"/>
      <c r="C105" s="285"/>
      <c r="D105" s="285"/>
      <c r="E105" s="286"/>
      <c r="F105" s="230" t="s">
        <v>101</v>
      </c>
      <c r="G105" s="228">
        <v>1.4</v>
      </c>
      <c r="H105" s="228"/>
      <c r="I105" s="228"/>
      <c r="N105" s="97"/>
      <c r="O105" s="97"/>
      <c r="P105" s="97"/>
      <c r="Q105" s="97"/>
      <c r="R105" s="97"/>
      <c r="S105" s="97"/>
      <c r="T105" s="97"/>
      <c r="U105" s="97"/>
      <c r="V105" s="97"/>
      <c r="W105" s="97"/>
    </row>
    <row r="106" spans="1:23" ht="15" x14ac:dyDescent="0.25">
      <c r="A106" s="233">
        <v>603106</v>
      </c>
      <c r="B106" s="228" t="s">
        <v>203</v>
      </c>
      <c r="C106" s="229">
        <v>1</v>
      </c>
      <c r="D106" s="228">
        <v>34.270000000000003</v>
      </c>
      <c r="E106" s="234">
        <f t="shared" ref="E106:E109" si="52">D106*C106</f>
        <v>34.270000000000003</v>
      </c>
      <c r="F106" s="230" t="s">
        <v>108</v>
      </c>
      <c r="G106" s="232">
        <f>SUM(E106:E109)*G105</f>
        <v>688.68799999999987</v>
      </c>
      <c r="H106" s="228"/>
      <c r="I106" s="228"/>
      <c r="N106" s="97"/>
      <c r="O106" s="97"/>
      <c r="P106" s="97"/>
      <c r="Q106" s="97"/>
      <c r="R106" s="97"/>
      <c r="S106" s="97"/>
      <c r="T106" s="97"/>
      <c r="U106" s="97"/>
      <c r="V106" s="97"/>
      <c r="W106" s="97"/>
    </row>
    <row r="107" spans="1:23" ht="15" x14ac:dyDescent="0.25">
      <c r="A107" s="233">
        <v>603107</v>
      </c>
      <c r="B107" s="228" t="s">
        <v>204</v>
      </c>
      <c r="C107" s="229">
        <v>1</v>
      </c>
      <c r="D107" s="228">
        <v>432.46</v>
      </c>
      <c r="E107" s="234">
        <f t="shared" si="52"/>
        <v>432.46</v>
      </c>
      <c r="F107" s="235" t="s">
        <v>47</v>
      </c>
      <c r="G107" s="236">
        <f>G104*L1</f>
        <v>540</v>
      </c>
      <c r="H107" s="228"/>
      <c r="I107" s="228"/>
      <c r="N107" s="97"/>
      <c r="O107" s="97"/>
      <c r="P107" s="97"/>
      <c r="Q107" s="97"/>
      <c r="R107" s="97"/>
      <c r="S107" s="97"/>
      <c r="T107" s="97"/>
      <c r="U107" s="97"/>
      <c r="V107" s="97"/>
      <c r="W107" s="97"/>
    </row>
    <row r="108" spans="1:23" ht="15" x14ac:dyDescent="0.25">
      <c r="A108" s="237" t="s">
        <v>205</v>
      </c>
      <c r="B108" s="228" t="s">
        <v>206</v>
      </c>
      <c r="C108" s="229">
        <v>1</v>
      </c>
      <c r="D108" s="228">
        <v>11.1</v>
      </c>
      <c r="E108" s="234">
        <f t="shared" si="52"/>
        <v>11.1</v>
      </c>
      <c r="F108" s="235" t="s">
        <v>112</v>
      </c>
      <c r="G108" s="236">
        <f>SUM(G106:G107)</f>
        <v>1228.6879999999999</v>
      </c>
      <c r="H108" s="228"/>
      <c r="I108" s="228"/>
      <c r="N108" s="97"/>
      <c r="O108" s="97"/>
      <c r="P108" s="97"/>
      <c r="Q108" s="97"/>
      <c r="R108" s="97"/>
      <c r="S108" s="97"/>
      <c r="T108" s="97"/>
      <c r="U108" s="97"/>
      <c r="V108" s="97"/>
      <c r="W108" s="97"/>
    </row>
    <row r="109" spans="1:23" ht="15" x14ac:dyDescent="0.25">
      <c r="A109" s="238" t="s">
        <v>207</v>
      </c>
      <c r="B109" s="239" t="s">
        <v>208</v>
      </c>
      <c r="C109" s="240">
        <v>1</v>
      </c>
      <c r="D109" s="239">
        <v>14.09</v>
      </c>
      <c r="E109" s="241">
        <f t="shared" si="52"/>
        <v>14.09</v>
      </c>
      <c r="F109" s="230"/>
      <c r="G109" s="228"/>
      <c r="H109" s="228"/>
      <c r="I109" s="228"/>
      <c r="N109" s="97"/>
      <c r="O109" s="97"/>
      <c r="P109" s="97"/>
      <c r="Q109" s="97"/>
      <c r="R109" s="97"/>
      <c r="S109" s="97"/>
      <c r="T109" s="97"/>
      <c r="U109" s="97"/>
      <c r="V109" s="97"/>
      <c r="W109" s="97"/>
    </row>
    <row r="110" spans="1:23" x14ac:dyDescent="0.2">
      <c r="N110" s="97"/>
      <c r="O110" s="97"/>
      <c r="P110" s="97"/>
      <c r="Q110" s="97"/>
      <c r="R110" s="97"/>
      <c r="S110" s="97"/>
      <c r="T110" s="97"/>
      <c r="U110" s="97"/>
      <c r="V110" s="97"/>
      <c r="W110" s="97"/>
    </row>
    <row r="111" spans="1:23" x14ac:dyDescent="0.2">
      <c r="N111" s="97"/>
      <c r="O111" s="97"/>
      <c r="P111" s="97"/>
      <c r="Q111" s="97"/>
      <c r="R111" s="97"/>
      <c r="S111" s="97"/>
      <c r="T111" s="97"/>
      <c r="U111" s="97"/>
      <c r="V111" s="97"/>
      <c r="W111" s="97"/>
    </row>
    <row r="112" spans="1:23" x14ac:dyDescent="0.2">
      <c r="N112" s="97"/>
      <c r="O112" s="97"/>
      <c r="P112" s="97"/>
      <c r="Q112" s="97"/>
      <c r="R112" s="97"/>
      <c r="S112" s="97"/>
      <c r="T112" s="97"/>
      <c r="U112" s="97"/>
      <c r="V112" s="97"/>
      <c r="W112" s="97"/>
    </row>
    <row r="113" spans="14:23" x14ac:dyDescent="0.2">
      <c r="N113" s="97"/>
      <c r="O113" s="97"/>
      <c r="P113" s="97"/>
      <c r="Q113" s="97"/>
      <c r="R113" s="97"/>
      <c r="S113" s="97"/>
      <c r="T113" s="97"/>
      <c r="U113" s="97"/>
      <c r="V113" s="97"/>
      <c r="W113" s="97"/>
    </row>
    <row r="114" spans="14:23" ht="15" x14ac:dyDescent="0.25">
      <c r="N114" s="97"/>
      <c r="O114" s="208" t="s">
        <v>26</v>
      </c>
      <c r="P114" s="155">
        <v>0</v>
      </c>
      <c r="Q114" s="155">
        <v>100</v>
      </c>
      <c r="R114" s="156">
        <f>'TW - ASML AVR'!D57</f>
        <v>1395</v>
      </c>
      <c r="S114" s="161">
        <f>IF('TW - ASML AVR'!E57&lt;&gt;0,'Calc.'!P114,0)</f>
        <v>0</v>
      </c>
      <c r="T114" s="161">
        <f>IF('TW - ASML AVR'!F57&lt;&gt;0,'Calc.'!Q114,0)</f>
        <v>0</v>
      </c>
      <c r="U114" s="162">
        <f>S114*R114/100</f>
        <v>0</v>
      </c>
      <c r="V114" s="162">
        <f>T114*R114/100</f>
        <v>0</v>
      </c>
      <c r="W114" s="163">
        <f>V114+U114</f>
        <v>0</v>
      </c>
    </row>
    <row r="115" spans="14:23" ht="15" x14ac:dyDescent="0.25">
      <c r="N115" s="97"/>
      <c r="O115" s="208" t="s">
        <v>17</v>
      </c>
      <c r="P115" s="155">
        <v>100</v>
      </c>
      <c r="Q115" s="155">
        <v>0</v>
      </c>
      <c r="R115" s="156">
        <f>'TW - ASML AVR'!D58</f>
        <v>3496.52</v>
      </c>
      <c r="S115" s="161">
        <f>IF('TW - ASML AVR'!E58&lt;&gt;0,'Calc.'!P115,0)</f>
        <v>0</v>
      </c>
      <c r="T115" s="161">
        <f>IF('TW - ASML AVR'!F58&lt;&gt;0,'Calc.'!Q115,0)</f>
        <v>0</v>
      </c>
      <c r="U115" s="162">
        <f t="shared" ref="U115:U122" si="53">S115*R115/100</f>
        <v>0</v>
      </c>
      <c r="V115" s="162">
        <f t="shared" ref="V115:V122" si="54">T115*R115/100</f>
        <v>0</v>
      </c>
      <c r="W115" s="163">
        <f t="shared" ref="W115:W122" si="55">V115+U115</f>
        <v>0</v>
      </c>
    </row>
    <row r="116" spans="14:23" ht="15" x14ac:dyDescent="0.25">
      <c r="N116" s="97"/>
      <c r="O116" s="208" t="s">
        <v>57</v>
      </c>
      <c r="P116" s="155">
        <v>50</v>
      </c>
      <c r="Q116" s="155">
        <v>50</v>
      </c>
      <c r="R116" s="156">
        <f>'TW - ASML AVR'!D59</f>
        <v>0</v>
      </c>
      <c r="S116" s="161">
        <f>IF('TW - ASML AVR'!E59&lt;&gt;0,'Calc.'!P116,0)</f>
        <v>0</v>
      </c>
      <c r="T116" s="161">
        <f>IF('TW - ASML AVR'!F59&lt;&gt;0,'Calc.'!Q116,0)</f>
        <v>0</v>
      </c>
      <c r="U116" s="162">
        <f t="shared" si="53"/>
        <v>0</v>
      </c>
      <c r="V116" s="162">
        <f t="shared" si="54"/>
        <v>0</v>
      </c>
      <c r="W116" s="163">
        <f t="shared" si="55"/>
        <v>0</v>
      </c>
    </row>
    <row r="117" spans="14:23" ht="15" x14ac:dyDescent="0.25">
      <c r="O117" s="208" t="s">
        <v>16</v>
      </c>
      <c r="P117" s="155">
        <v>33</v>
      </c>
      <c r="Q117" s="155">
        <v>67</v>
      </c>
      <c r="R117" s="156">
        <f>'TW - ASML AVR'!D60</f>
        <v>1646.3314638009499</v>
      </c>
      <c r="S117" s="161">
        <f>IF('TW - ASML AVR'!E60&lt;&gt;0,'Calc.'!P117,0)</f>
        <v>0</v>
      </c>
      <c r="T117" s="161">
        <f>IF('TW - ASML AVR'!F60&lt;&gt;0,'Calc.'!Q117,0)</f>
        <v>0</v>
      </c>
      <c r="U117" s="162">
        <f t="shared" si="53"/>
        <v>0</v>
      </c>
      <c r="V117" s="162">
        <f t="shared" si="54"/>
        <v>0</v>
      </c>
      <c r="W117" s="163">
        <f t="shared" si="55"/>
        <v>0</v>
      </c>
    </row>
    <row r="118" spans="14:23" ht="15" x14ac:dyDescent="0.25">
      <c r="O118" s="208" t="s">
        <v>21</v>
      </c>
      <c r="P118" s="155">
        <v>50</v>
      </c>
      <c r="Q118" s="155">
        <v>50</v>
      </c>
      <c r="R118" s="156">
        <f>'TW - ASML AVR'!D61</f>
        <v>150</v>
      </c>
      <c r="S118" s="161">
        <f>IF('TW - ASML AVR'!E61&lt;&gt;0,'Calc.'!P118,0)</f>
        <v>0</v>
      </c>
      <c r="T118" s="161">
        <f>IF('TW - ASML AVR'!F61&lt;&gt;0,'Calc.'!Q118,0)</f>
        <v>0</v>
      </c>
      <c r="U118" s="162">
        <f>S118*R118/100</f>
        <v>0</v>
      </c>
      <c r="V118" s="162">
        <f t="shared" si="54"/>
        <v>0</v>
      </c>
      <c r="W118" s="163">
        <f>V118+U118</f>
        <v>0</v>
      </c>
    </row>
    <row r="119" spans="14:23" ht="15" x14ac:dyDescent="0.25">
      <c r="O119" s="208" t="s">
        <v>27</v>
      </c>
      <c r="P119" s="155">
        <v>0</v>
      </c>
      <c r="Q119" s="155">
        <v>100</v>
      </c>
      <c r="R119" s="156">
        <f>'TW - ASML AVR'!D62</f>
        <v>90</v>
      </c>
      <c r="S119" s="161">
        <f>IF('TW - ASML AVR'!E62&lt;&gt;0,'Calc.'!P119,0)</f>
        <v>0</v>
      </c>
      <c r="T119" s="161">
        <f>IF('TW - ASML AVR'!F62&lt;&gt;0,'Calc.'!Q119,0)</f>
        <v>0</v>
      </c>
      <c r="U119" s="162">
        <f t="shared" si="53"/>
        <v>0</v>
      </c>
      <c r="V119" s="162">
        <f t="shared" si="54"/>
        <v>0</v>
      </c>
      <c r="W119" s="163">
        <f t="shared" si="55"/>
        <v>0</v>
      </c>
    </row>
    <row r="120" spans="14:23" ht="15" x14ac:dyDescent="0.25">
      <c r="O120" s="208" t="s">
        <v>14</v>
      </c>
      <c r="P120" s="155">
        <v>100</v>
      </c>
      <c r="Q120" s="155">
        <v>0</v>
      </c>
      <c r="R120" s="156">
        <f>'TW - ASML AVR'!D63</f>
        <v>159.39000000000001</v>
      </c>
      <c r="S120" s="161">
        <f>IF('TW - ASML AVR'!E63&lt;&gt;0,'Calc.'!P120,0)</f>
        <v>0</v>
      </c>
      <c r="T120" s="161">
        <f>IF('TW - ASML AVR'!F63&lt;&gt;0,'Calc.'!Q120,0)</f>
        <v>0</v>
      </c>
      <c r="U120" s="162">
        <f t="shared" si="53"/>
        <v>0</v>
      </c>
      <c r="V120" s="162">
        <f t="shared" si="54"/>
        <v>0</v>
      </c>
      <c r="W120" s="163">
        <f t="shared" si="55"/>
        <v>0</v>
      </c>
    </row>
    <row r="121" spans="14:23" ht="15" x14ac:dyDescent="0.25">
      <c r="O121" s="208" t="s">
        <v>166</v>
      </c>
      <c r="P121" s="155">
        <v>50</v>
      </c>
      <c r="Q121" s="155">
        <v>50</v>
      </c>
      <c r="R121" s="156">
        <f>'TW - ASML AVR'!D64</f>
        <v>250</v>
      </c>
      <c r="S121" s="161">
        <f>IF('TW - ASML AVR'!E64&lt;&gt;0,'Calc.'!P121,0)</f>
        <v>0</v>
      </c>
      <c r="T121" s="161">
        <f>IF('TW - ASML AVR'!F64&lt;&gt;0,'Calc.'!Q121,0)</f>
        <v>0</v>
      </c>
      <c r="U121" s="162">
        <f t="shared" si="53"/>
        <v>0</v>
      </c>
      <c r="V121" s="162">
        <f t="shared" si="54"/>
        <v>0</v>
      </c>
      <c r="W121" s="163">
        <f t="shared" si="55"/>
        <v>0</v>
      </c>
    </row>
    <row r="122" spans="14:23" ht="15" x14ac:dyDescent="0.25">
      <c r="O122" s="208" t="s">
        <v>59</v>
      </c>
      <c r="P122" s="155">
        <v>50</v>
      </c>
      <c r="Q122" s="155">
        <v>50</v>
      </c>
      <c r="R122" s="156">
        <f>'TW - ASML AVR'!D65</f>
        <v>0</v>
      </c>
      <c r="S122" s="161">
        <f>IF('TW - ASML AVR'!E65&lt;&gt;0,'Calc.'!P122,0)</f>
        <v>0</v>
      </c>
      <c r="T122" s="161">
        <f>IF('TW - ASML AVR'!F65&lt;&gt;0,'Calc.'!Q122,0)</f>
        <v>0</v>
      </c>
      <c r="U122" s="162">
        <f t="shared" si="53"/>
        <v>0</v>
      </c>
      <c r="V122" s="162">
        <f t="shared" si="54"/>
        <v>0</v>
      </c>
      <c r="W122" s="163">
        <f t="shared" si="55"/>
        <v>0</v>
      </c>
    </row>
    <row r="123" spans="14:23" ht="15" x14ac:dyDescent="0.25">
      <c r="R123" s="156">
        <f>'TW - ASML AVR'!D66</f>
        <v>0</v>
      </c>
    </row>
    <row r="128" spans="14:23" x14ac:dyDescent="0.2">
      <c r="P128" s="9"/>
      <c r="Q128" s="9"/>
      <c r="R128" s="9"/>
      <c r="S128" s="210"/>
      <c r="T128" s="210"/>
      <c r="U128" s="162">
        <f>SUM(U2:U127)</f>
        <v>0</v>
      </c>
      <c r="V128" s="162">
        <f>SUM(V2:V127)</f>
        <v>0</v>
      </c>
      <c r="W128" s="163">
        <f>V128+U128</f>
        <v>0</v>
      </c>
    </row>
    <row r="129" spans="16:22" ht="15" x14ac:dyDescent="0.25">
      <c r="P129" s="156"/>
      <c r="Q129" s="156"/>
      <c r="S129" s="157"/>
      <c r="T129" s="157"/>
      <c r="U129" s="158" t="s">
        <v>108</v>
      </c>
      <c r="V129" s="158" t="s">
        <v>45</v>
      </c>
    </row>
    <row r="130" spans="16:22" x14ac:dyDescent="0.2">
      <c r="U130" s="164" t="e">
        <f>100/'TW - ASML AVR'!F67*'Calc.'!U128</f>
        <v>#DIV/0!</v>
      </c>
      <c r="V130" s="164" t="e">
        <f>100/'TW - ASML AVR'!$F$67*'Calc.'!$V$128</f>
        <v>#DIV/0!</v>
      </c>
    </row>
  </sheetData>
  <sheetProtection algorithmName="SHA-512" hashValue="uBRlx8Bd/WWDPSl9E4KkKVGAdyvrgNP/m9g/W/eTIJp2tz0YuN+/M2qTM0BM9Rt8ABPKKqPeuW1WOGavoPS/zw==" saltValue="gyPEvJYalOEu4H4dmbIZtw==" spinCount="100000" sheet="1" objects="1" scenarios="1" selectLockedCells="1" selectUnlockedCells="1"/>
  <mergeCells count="9">
    <mergeCell ref="A3:E3"/>
    <mergeCell ref="A13:E13"/>
    <mergeCell ref="A27:E27"/>
    <mergeCell ref="A45:E45"/>
    <mergeCell ref="A105:E105"/>
    <mergeCell ref="A40:E40"/>
    <mergeCell ref="A53:E53"/>
    <mergeCell ref="A75:E75"/>
    <mergeCell ref="A98:E98"/>
  </mergeCells>
  <phoneticPr fontId="23" type="noConversion"/>
  <printOptions gridLines="1"/>
  <pageMargins left="0.70866141732283472" right="0.70866141732283472" top="0.78740157480314965" bottom="0.78740157480314965" header="0.31496062992125984" footer="0.31496062992125984"/>
  <pageSetup paperSize="284" scale="6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9"/>
    <pageSetUpPr fitToPage="1"/>
  </sheetPr>
  <dimension ref="D1:J1"/>
  <sheetViews>
    <sheetView view="pageBreakPreview" topLeftCell="A4" zoomScaleNormal="100" zoomScaleSheetLayoutView="100" workbookViewId="0">
      <selection activeCell="O3" sqref="O3"/>
    </sheetView>
  </sheetViews>
  <sheetFormatPr defaultColWidth="9.140625" defaultRowHeight="12.75" outlineLevelCol="1" x14ac:dyDescent="0.2"/>
  <cols>
    <col min="1" max="1" width="7" style="19" customWidth="1"/>
    <col min="2" max="2" width="28.85546875" style="19" bestFit="1" customWidth="1"/>
    <col min="3" max="3" width="14.28515625" style="19" bestFit="1" customWidth="1"/>
    <col min="4" max="4" width="8.85546875" style="19" hidden="1" customWidth="1" outlineLevel="1"/>
    <col min="5" max="5" width="8.85546875" style="19" customWidth="1" collapsed="1"/>
    <col min="6" max="6" width="6.5703125" style="20" customWidth="1"/>
    <col min="7" max="8" width="10.85546875" style="21" customWidth="1"/>
    <col min="9" max="9" width="9.140625" style="19" customWidth="1"/>
    <col min="10" max="10" width="15.7109375" style="22" customWidth="1"/>
    <col min="11" max="19" width="15.7109375" style="19" customWidth="1"/>
    <col min="20" max="16384" width="9.140625" style="19"/>
  </cols>
  <sheetData/>
  <phoneticPr fontId="23" type="noConversion"/>
  <printOptions gridLines="1"/>
  <pageMargins left="0.78740157480314965" right="0.78740157480314965" top="0.98425196850393704" bottom="0.98425196850393704" header="0.51181102362204722" footer="0.51181102362204722"/>
  <pageSetup paperSize="9"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TW - ASML AVR</vt:lpstr>
      <vt:lpstr>Component Costs</vt:lpstr>
      <vt:lpstr>History</vt:lpstr>
      <vt:lpstr>Calc.</vt:lpstr>
      <vt:lpstr>INTERNAL DOCUMENT</vt:lpstr>
      <vt:lpstr>'INTERNAL DOCUMENT'!Print_Area</vt:lpstr>
      <vt:lpstr>'TW - ASML AVR'!Print_Area</vt:lpstr>
      <vt:lpstr>Calc.!Stundensatz</vt:lpstr>
    </vt:vector>
  </TitlesOfParts>
  <Company>ASYS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Weber</dc:creator>
  <cp:lastModifiedBy>twintern</cp:lastModifiedBy>
  <cp:lastPrinted>2021-04-26T08:57:23Z</cp:lastPrinted>
  <dcterms:created xsi:type="dcterms:W3CDTF">2011-12-05T09:49:42Z</dcterms:created>
  <dcterms:modified xsi:type="dcterms:W3CDTF">2025-12-02T03:55:44Z</dcterms:modified>
</cp:coreProperties>
</file>