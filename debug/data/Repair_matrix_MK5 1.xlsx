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twintern\Auto Purchase\AutoPurchase\data\"/>
    </mc:Choice>
  </mc:AlternateContent>
  <xr:revisionPtr revIDLastSave="0" documentId="13_ncr:1_{FF1DFF51-D6CB-48C6-96E4-BCE6934C494A}" xr6:coauthVersionLast="47" xr6:coauthVersionMax="47" xr10:uidLastSave="{00000000-0000-0000-0000-000000000000}"/>
  <bookViews>
    <workbookView xWindow="-120" yWindow="-120" windowWidth="29040" windowHeight="15840" tabRatio="454" xr2:uid="{00000000-000D-0000-FFFF-FFFF00000000}"/>
  </bookViews>
  <sheets>
    <sheet name="TW - ASML Scara XT" sheetId="2" r:id="rId1"/>
  </sheets>
  <externalReferences>
    <externalReference r:id="rId2"/>
  </externalReferences>
  <definedNames>
    <definedName name="Arm_No">#REF!</definedName>
    <definedName name="DM_No">#REF!</definedName>
    <definedName name="_xlnm.Print_Area" localSheetId="0">'TW - ASML Scara XT'!$A$1:$G$84</definedName>
    <definedName name="Stundensatz">'[1]old - Scara - NT'!$P$1</definedName>
    <definedName name="Stundensatzs">#REF!</definedName>
    <definedName name="TYPE">#REF!</definedName>
    <definedName name="Z_No">#REF!</definedName>
    <definedName name="Zuschlag">[1]Verpackung!$G$3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2" l="1"/>
  <c r="D63" i="2" l="1"/>
  <c r="D26" i="2" l="1"/>
  <c r="D70" i="2"/>
  <c r="D80" i="2"/>
  <c r="D25" i="2" l="1"/>
  <c r="D53" i="2"/>
  <c r="D42" i="2"/>
  <c r="D44" i="2"/>
  <c r="D45" i="2"/>
  <c r="D54" i="2"/>
  <c r="D49" i="2"/>
  <c r="D55" i="2"/>
  <c r="D39" i="2"/>
  <c r="D56" i="2"/>
  <c r="D46" i="2"/>
  <c r="D43" i="2"/>
  <c r="D47" i="2"/>
  <c r="D17" i="2"/>
  <c r="D32" i="2"/>
  <c r="D41" i="2"/>
  <c r="D48" i="2"/>
  <c r="D60" i="2"/>
  <c r="D62" i="2"/>
  <c r="D61" i="2"/>
  <c r="D38" i="2"/>
  <c r="D30" i="2"/>
  <c r="D29" i="2"/>
  <c r="D40" i="2"/>
  <c r="D52" i="2"/>
  <c r="D59" i="2"/>
  <c r="D28" i="2"/>
  <c r="D13" i="2"/>
  <c r="D21" i="2"/>
  <c r="D15" i="2" l="1"/>
  <c r="L87" i="2" l="1"/>
  <c r="L86" i="2"/>
</calcChain>
</file>

<file path=xl/sharedStrings.xml><?xml version="1.0" encoding="utf-8"?>
<sst xmlns="http://schemas.openxmlformats.org/spreadsheetml/2006/main" count="135" uniqueCount="105">
  <si>
    <t>-</t>
  </si>
  <si>
    <t xml:space="preserve">Repair matrix Scara&amp; NT arm robots </t>
  </si>
  <si>
    <t>module_part</t>
  </si>
  <si>
    <t>id_no</t>
  </si>
  <si>
    <t>price</t>
  </si>
  <si>
    <t>need_amount</t>
  </si>
  <si>
    <t>price_sum</t>
  </si>
  <si>
    <t>Unit 12NC received:</t>
  </si>
  <si>
    <t>Unit serial number:</t>
  </si>
  <si>
    <t xml:space="preserve">Arm #:  </t>
  </si>
  <si>
    <t>DM #:</t>
  </si>
  <si>
    <t xml:space="preserve">Z-stroke #:   </t>
  </si>
  <si>
    <t>Age dependend parts</t>
  </si>
  <si>
    <t>Module part</t>
  </si>
  <si>
    <t>Price</t>
  </si>
  <si>
    <t>need</t>
  </si>
  <si>
    <t>sum</t>
  </si>
  <si>
    <t>Arm parts (after 3,5 years)</t>
  </si>
  <si>
    <t>Arm - average price</t>
  </si>
  <si>
    <t>Drive module (DM) parts (after 3,5 years)</t>
  </si>
  <si>
    <t>DM - Lika Motor upgrade (incl. Sealing)</t>
  </si>
  <si>
    <t>Z-stroke module parts (after 5 years)</t>
  </si>
  <si>
    <t>Z-stroke 35 - average price</t>
  </si>
  <si>
    <t>Z-stroke 50 - average price</t>
  </si>
  <si>
    <t>Last digit and red mark change dependend parts</t>
  </si>
  <si>
    <t>Upgrade part</t>
  </si>
  <si>
    <t>id-no.</t>
  </si>
  <si>
    <t>Cable upgrade (Lika 12NC)</t>
  </si>
  <si>
    <t>Gripper interface PCB Protection upgrade</t>
    <phoneticPr fontId="7" type="noConversion"/>
  </si>
  <si>
    <t>MK5 Arm-upgrade</t>
  </si>
  <si>
    <t>add. clamping ring (MK5)</t>
  </si>
  <si>
    <t>MK5 DM-upgrade (interface)</t>
  </si>
  <si>
    <t>MK5 Z-upgrade</t>
  </si>
  <si>
    <t>Visual check dependend parts</t>
  </si>
  <si>
    <t>Arm</t>
  </si>
  <si>
    <t>Upper arm housing (RWD upgrade)</t>
  </si>
  <si>
    <t xml:space="preserve">Upper arm housing </t>
    <phoneticPr fontId="7" type="noConversion"/>
  </si>
  <si>
    <t>Upper arm lid</t>
  </si>
  <si>
    <t>Lower arm  housing (RWD upgrade)</t>
  </si>
  <si>
    <t xml:space="preserve">Lower arm  housing </t>
    <phoneticPr fontId="7" type="noConversion"/>
  </si>
  <si>
    <t>lower arm lid</t>
  </si>
  <si>
    <t>Arm- drive interface (BR-Shoulder)</t>
  </si>
  <si>
    <t>Arm - gripper interface assy. Scara</t>
  </si>
  <si>
    <t>Arm - gripper interface assy. NT</t>
  </si>
  <si>
    <t>belt-reel upgrade</t>
  </si>
  <si>
    <t>Torx-screw upgrade</t>
  </si>
  <si>
    <t xml:space="preserve">bearings </t>
  </si>
  <si>
    <t>Arm to ASYS EU</t>
  </si>
  <si>
    <t>Drive module</t>
  </si>
  <si>
    <t>cable hood</t>
  </si>
  <si>
    <t>DM housing</t>
  </si>
  <si>
    <t>DM Lid</t>
  </si>
  <si>
    <t xml:space="preserve">slip-ring </t>
  </si>
  <si>
    <t>Hollow shaft</t>
  </si>
  <si>
    <t>DM to ASYS EU</t>
  </si>
  <si>
    <t>Z- module</t>
  </si>
  <si>
    <t>ZM housing Scara</t>
  </si>
  <si>
    <t>ZM housing NT</t>
  </si>
  <si>
    <t>guiding shafts Scara</t>
  </si>
  <si>
    <t>guiding shafts NT</t>
  </si>
  <si>
    <t xml:space="preserve">small guiding shaft </t>
  </si>
  <si>
    <t>Clamping flange</t>
  </si>
  <si>
    <t>Adapter cable</t>
  </si>
  <si>
    <t>Z-Stroke to ASYS EU</t>
  </si>
  <si>
    <t>Labour &amp; Packaging</t>
  </si>
  <si>
    <t>General part</t>
  </si>
  <si>
    <t>total qualification (Labour)</t>
  </si>
  <si>
    <t>add. Analyse (DOA / FAR)</t>
  </si>
  <si>
    <t>Grey Box (new)</t>
  </si>
  <si>
    <t>Grey Box (repair)</t>
    <phoneticPr fontId="7" type="noConversion"/>
  </si>
  <si>
    <t>upgrade grey box from .4 -&gt; .5</t>
  </si>
  <si>
    <t>Packaging set</t>
  </si>
  <si>
    <t>proportion of freight charges (modules)</t>
  </si>
  <si>
    <t>delivery charges</t>
  </si>
  <si>
    <t>additional hours (Labour)</t>
  </si>
  <si>
    <t>additional material</t>
  </si>
  <si>
    <t>friction test (NT only  - delivery)</t>
  </si>
  <si>
    <t>free for extra costs</t>
  </si>
  <si>
    <t>Total Repair costs</t>
  </si>
  <si>
    <t>%</t>
  </si>
  <si>
    <t>Material No.</t>
  </si>
  <si>
    <t xml:space="preserve">Repair: </t>
  </si>
  <si>
    <t xml:space="preserve">First delivery:  </t>
  </si>
  <si>
    <t xml:space="preserve">upgrade to: </t>
  </si>
  <si>
    <t xml:space="preserve">First delivery: </t>
  </si>
  <si>
    <t>E-19718 + 605704</t>
  </si>
  <si>
    <t>E-19718 + 607171</t>
  </si>
  <si>
    <t>609810 + E-10092*2</t>
  </si>
  <si>
    <t>610906 + E-10092*4</t>
  </si>
  <si>
    <t>欄1</t>
  </si>
  <si>
    <t>610902 +  E-19623</t>
  </si>
  <si>
    <t>605703 + E-12664*2 + E-10053 + E-14030 + E-11878*4</t>
  </si>
  <si>
    <t>607174 + E-12664*2 + E-10053 + E-14030 + E-11878*4</t>
  </si>
  <si>
    <t>604336*1+610854*1</t>
  </si>
  <si>
    <t>The same AVR DM</t>
  </si>
  <si>
    <t>609752*2+609753*2+E-13736*2+604956*20</t>
  </si>
  <si>
    <t>613633+613646+E-23858*2+E-23862+612218</t>
  </si>
  <si>
    <t>610846+609673+610839+610840+E-11574+612238+E-20953*2</t>
  </si>
  <si>
    <t>610846+609673+610839</t>
  </si>
  <si>
    <t>609641+604405+609672+612038+604404+E-10002</t>
  </si>
  <si>
    <t>611656+610457+609709+611657+610841+610866+610850+E-20953*2</t>
  </si>
  <si>
    <t>611656+610457+609709+611657</t>
  </si>
  <si>
    <t>609634+609651+606872+E-11069*9+E-14188*8</t>
  </si>
  <si>
    <t>609744+609753</t>
  </si>
  <si>
    <t>E-18688+E-18687+E-11574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</si>
</sst>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0.00_ 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52">
    <xf numFmtId="0" fontId="0" fillId="0" borderId="0"/>
    <xf numFmtId="0" fontId="9" fillId="0" borderId="0"/>
    <xf numFmtId="0" fontId="14" fillId="0" borderId="0"/>
    <xf numFmtId="166" fontId="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6" fillId="0" borderId="0"/>
    <xf numFmtId="0" fontId="5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7" fillId="0" borderId="0"/>
    <xf numFmtId="9" fontId="6" fillId="0" borderId="0" applyFont="0" applyFill="0" applyBorder="0" applyAlignment="0" applyProtection="0"/>
    <xf numFmtId="0" fontId="3" fillId="0" borderId="0"/>
    <xf numFmtId="166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vertical="top"/>
    </xf>
    <xf numFmtId="166" fontId="0" fillId="0" borderId="0" xfId="3" applyFont="1"/>
    <xf numFmtId="166" fontId="8" fillId="0" borderId="0" xfId="3" applyFont="1" applyAlignment="1">
      <alignment vertical="top"/>
    </xf>
    <xf numFmtId="166" fontId="8" fillId="0" borderId="0" xfId="3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4" applyFon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11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12" xfId="0" applyFont="1" applyBorder="1" applyAlignment="1" applyProtection="1">
      <alignment horizontal="center" vertical="top"/>
      <protection locked="0"/>
    </xf>
    <xf numFmtId="2" fontId="8" fillId="0" borderId="9" xfId="0" applyNumberFormat="1" applyFont="1" applyBorder="1" applyAlignment="1" applyProtection="1">
      <alignment horizontal="center"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4" borderId="11" xfId="0" applyFont="1" applyFill="1" applyBorder="1" applyProtection="1">
      <protection locked="0"/>
    </xf>
    <xf numFmtId="0" fontId="8" fillId="4" borderId="1" xfId="0" applyFont="1" applyFill="1" applyBorder="1" applyProtection="1">
      <protection locked="0"/>
    </xf>
    <xf numFmtId="2" fontId="8" fillId="4" borderId="1" xfId="0" applyNumberFormat="1" applyFont="1" applyFill="1" applyBorder="1" applyProtection="1">
      <protection locked="0"/>
    </xf>
    <xf numFmtId="0" fontId="8" fillId="4" borderId="16" xfId="0" applyFont="1" applyFill="1" applyBorder="1" applyAlignment="1" applyProtection="1">
      <alignment horizontal="center"/>
      <protection locked="0"/>
    </xf>
    <xf numFmtId="2" fontId="8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7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0" fontId="0" fillId="4" borderId="17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18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8" fillId="0" borderId="7" xfId="0" applyFont="1" applyBorder="1" applyProtection="1">
      <protection locked="0"/>
    </xf>
    <xf numFmtId="0" fontId="8" fillId="0" borderId="8" xfId="0" applyFont="1" applyBorder="1" applyProtection="1">
      <protection locked="0"/>
    </xf>
    <xf numFmtId="2" fontId="8" fillId="0" borderId="8" xfId="0" applyNumberFormat="1" applyFont="1" applyBorder="1" applyProtection="1">
      <protection locked="0"/>
    </xf>
    <xf numFmtId="0" fontId="8" fillId="0" borderId="12" xfId="0" applyFont="1" applyBorder="1" applyAlignment="1" applyProtection="1">
      <alignment horizontal="center"/>
      <protection locked="0"/>
    </xf>
    <xf numFmtId="2" fontId="8" fillId="0" borderId="9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2" fontId="8" fillId="0" borderId="0" xfId="0" applyNumberFormat="1" applyFont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6" fontId="0" fillId="0" borderId="0" xfId="4" applyFont="1" applyProtection="1">
      <protection locked="0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9" xfId="0" applyFill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3" applyFont="1" applyProtection="1">
      <protection locked="0"/>
    </xf>
    <xf numFmtId="166" fontId="8" fillId="0" borderId="0" xfId="3" applyFont="1" applyProtection="1">
      <protection locked="0"/>
    </xf>
    <xf numFmtId="0" fontId="16" fillId="7" borderId="11" xfId="0" applyFont="1" applyFill="1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8" fillId="0" borderId="0" xfId="0" applyFont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49" fontId="6" fillId="0" borderId="2" xfId="7" quotePrefix="1" applyNumberFormat="1" applyBorder="1" applyProtection="1">
      <protection locked="0"/>
    </xf>
    <xf numFmtId="166" fontId="0" fillId="0" borderId="0" xfId="9" applyFont="1" applyProtection="1">
      <protection locked="0"/>
    </xf>
    <xf numFmtId="166" fontId="0" fillId="0" borderId="0" xfId="9" applyFont="1"/>
    <xf numFmtId="0" fontId="6" fillId="0" borderId="0" xfId="7"/>
    <xf numFmtId="0" fontId="6" fillId="0" borderId="0" xfId="7" applyAlignment="1">
      <alignment horizontal="center"/>
    </xf>
    <xf numFmtId="0" fontId="6" fillId="0" borderId="0" xfId="7" applyProtection="1">
      <protection locked="0"/>
    </xf>
    <xf numFmtId="166" fontId="6" fillId="0" borderId="0" xfId="9" applyFont="1" applyProtection="1">
      <protection locked="0"/>
    </xf>
    <xf numFmtId="0" fontId="6" fillId="5" borderId="20" xfId="0" applyFont="1" applyFill="1" applyBorder="1" applyProtection="1">
      <protection locked="0"/>
    </xf>
    <xf numFmtId="0" fontId="0" fillId="6" borderId="4" xfId="0" applyFill="1" applyBorder="1"/>
    <xf numFmtId="166" fontId="0" fillId="6" borderId="4" xfId="9" applyFont="1" applyFill="1" applyBorder="1"/>
    <xf numFmtId="0" fontId="0" fillId="6" borderId="6" xfId="0" applyFill="1" applyBorder="1"/>
    <xf numFmtId="167" fontId="6" fillId="6" borderId="12" xfId="7" applyNumberFormat="1" applyFill="1" applyBorder="1" applyAlignment="1">
      <alignment horizontal="center"/>
    </xf>
    <xf numFmtId="0" fontId="6" fillId="6" borderId="12" xfId="7" applyFill="1" applyBorder="1"/>
    <xf numFmtId="0" fontId="0" fillId="6" borderId="18" xfId="0" applyFill="1" applyBorder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6" fillId="8" borderId="11" xfId="0" applyFont="1" applyFill="1" applyBorder="1" applyProtection="1">
      <protection locked="0"/>
    </xf>
    <xf numFmtId="0" fontId="10" fillId="0" borderId="0" xfId="7" applyFont="1" applyProtection="1">
      <protection locked="0"/>
    </xf>
    <xf numFmtId="0" fontId="6" fillId="0" borderId="0" xfId="7" applyAlignment="1" applyProtection="1">
      <alignment horizontal="center"/>
      <protection locked="0"/>
    </xf>
    <xf numFmtId="2" fontId="6" fillId="0" borderId="0" xfId="7" applyNumberFormat="1" applyAlignment="1" applyProtection="1">
      <alignment horizontal="center"/>
      <protection locked="0"/>
    </xf>
    <xf numFmtId="2" fontId="6" fillId="5" borderId="1" xfId="7" applyNumberFormat="1" applyFill="1" applyBorder="1" applyProtection="1">
      <protection locked="0"/>
    </xf>
    <xf numFmtId="2" fontId="6" fillId="0" borderId="1" xfId="7" applyNumberFormat="1" applyBorder="1" applyProtection="1">
      <protection locked="0"/>
    </xf>
    <xf numFmtId="0" fontId="6" fillId="0" borderId="11" xfId="0" applyFont="1" applyBorder="1" applyAlignment="1" applyProtection="1">
      <alignment wrapText="1"/>
      <protection locked="0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7" applyAlignment="1">
      <alignment horizontal="left"/>
    </xf>
    <xf numFmtId="166" fontId="0" fillId="6" borderId="4" xfId="9" applyFont="1" applyFill="1" applyBorder="1" applyProtection="1">
      <protection locked="0"/>
    </xf>
    <xf numFmtId="166" fontId="0" fillId="6" borderId="12" xfId="9" applyFont="1" applyFill="1" applyBorder="1" applyProtection="1">
      <protection locked="0"/>
    </xf>
    <xf numFmtId="0" fontId="6" fillId="0" borderId="0" xfId="0" applyFont="1"/>
    <xf numFmtId="168" fontId="0" fillId="0" borderId="0" xfId="0" applyNumberFormat="1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7" xfId="0" applyFont="1" applyFill="1" applyBorder="1" applyProtection="1">
      <protection locked="0"/>
    </xf>
    <xf numFmtId="0" fontId="6" fillId="0" borderId="17" xfId="0" applyFont="1" applyBorder="1" applyAlignment="1" applyProtection="1">
      <alignment horizontal="center"/>
      <protection locked="0"/>
    </xf>
    <xf numFmtId="166" fontId="6" fillId="0" borderId="0" xfId="4" applyFont="1" applyProtection="1">
      <protection locked="0"/>
    </xf>
    <xf numFmtId="0" fontId="10" fillId="0" borderId="21" xfId="0" applyFont="1" applyBorder="1" applyProtection="1">
      <protection locked="0"/>
    </xf>
    <xf numFmtId="0" fontId="0" fillId="0" borderId="22" xfId="0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2" fontId="0" fillId="3" borderId="23" xfId="0" applyNumberFormat="1" applyFill="1" applyBorder="1" applyAlignment="1" applyProtection="1">
      <alignment horizontal="center"/>
      <protection locked="0"/>
    </xf>
    <xf numFmtId="0" fontId="18" fillId="0" borderId="24" xfId="0" applyFont="1" applyBorder="1" applyProtection="1">
      <protection locked="0"/>
    </xf>
    <xf numFmtId="0" fontId="18" fillId="0" borderId="24" xfId="0" applyFont="1" applyBorder="1" applyAlignment="1" applyProtection="1">
      <alignment horizontal="center"/>
      <protection locked="0"/>
    </xf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6" fillId="5" borderId="11" xfId="0" applyFont="1" applyFill="1" applyBorder="1" applyProtection="1"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6" fillId="0" borderId="0" xfId="0" quotePrefix="1" applyFont="1" applyAlignment="1">
      <alignment horizontal="left"/>
    </xf>
    <xf numFmtId="2" fontId="6" fillId="5" borderId="10" xfId="0" applyNumberFormat="1" applyFont="1" applyFill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</cellXfs>
  <cellStyles count="52">
    <cellStyle name="Currency" xfId="3" builtinId="4"/>
    <cellStyle name="Komma 2" xfId="37" xr:uid="{00000000-0005-0000-0000-000000000000}"/>
    <cellStyle name="Normal" xfId="0" builtinId="0"/>
    <cellStyle name="Prozent 2" xfId="23" xr:uid="{00000000-0005-0000-0000-000002000000}"/>
    <cellStyle name="Standard 2" xfId="1" xr:uid="{00000000-0005-0000-0000-000004000000}"/>
    <cellStyle name="Standard 2 2" xfId="7" xr:uid="{00000000-0005-0000-0000-000005000000}"/>
    <cellStyle name="Standard 3" xfId="2" xr:uid="{00000000-0005-0000-0000-000006000000}"/>
    <cellStyle name="Standard 3 2" xfId="8" xr:uid="{00000000-0005-0000-0000-000007000000}"/>
    <cellStyle name="Standard 3 2 2" xfId="18" xr:uid="{00000000-0005-0000-0000-000008000000}"/>
    <cellStyle name="Standard 3 2 2 2" xfId="35" xr:uid="{00000000-0005-0000-0000-000009000000}"/>
    <cellStyle name="Standard 3 2 2 3" xfId="50" xr:uid="{00000000-0005-0000-0000-00000A000000}"/>
    <cellStyle name="Standard 3 2 3" xfId="14" xr:uid="{00000000-0005-0000-0000-00000B000000}"/>
    <cellStyle name="Standard 3 2 3 2" xfId="31" xr:uid="{00000000-0005-0000-0000-00000C000000}"/>
    <cellStyle name="Standard 3 2 3 3" xfId="46" xr:uid="{00000000-0005-0000-0000-00000D000000}"/>
    <cellStyle name="Standard 3 2 4" xfId="27" xr:uid="{00000000-0005-0000-0000-00000E000000}"/>
    <cellStyle name="Standard 3 2 5" xfId="42" xr:uid="{00000000-0005-0000-0000-00000F000000}"/>
    <cellStyle name="Standard 3 3" xfId="16" xr:uid="{00000000-0005-0000-0000-000010000000}"/>
    <cellStyle name="Standard 3 3 2" xfId="33" xr:uid="{00000000-0005-0000-0000-000011000000}"/>
    <cellStyle name="Standard 3 3 3" xfId="48" xr:uid="{00000000-0005-0000-0000-000012000000}"/>
    <cellStyle name="Standard 3 4" xfId="12" xr:uid="{00000000-0005-0000-0000-000013000000}"/>
    <cellStyle name="Standard 3 4 2" xfId="29" xr:uid="{00000000-0005-0000-0000-000014000000}"/>
    <cellStyle name="Standard 3 4 3" xfId="44" xr:uid="{00000000-0005-0000-0000-000015000000}"/>
    <cellStyle name="Standard 3 5" xfId="24" xr:uid="{00000000-0005-0000-0000-000016000000}"/>
    <cellStyle name="Standard 3 6" xfId="40" xr:uid="{00000000-0005-0000-0000-000017000000}"/>
    <cellStyle name="Standard 4" xfId="22" xr:uid="{00000000-0005-0000-0000-000018000000}"/>
    <cellStyle name="Standard 5" xfId="20" xr:uid="{00000000-0005-0000-0000-000019000000}"/>
    <cellStyle name="Standard 6" xfId="38" xr:uid="{00000000-0005-0000-0000-00001A000000}"/>
    <cellStyle name="Währung 2" xfId="4" xr:uid="{00000000-0005-0000-0000-00001C000000}"/>
    <cellStyle name="Währung 2 2" xfId="9" xr:uid="{00000000-0005-0000-0000-00001D000000}"/>
    <cellStyle name="Währung 3" xfId="5" xr:uid="{00000000-0005-0000-0000-00001E000000}"/>
    <cellStyle name="Währung 3 2" xfId="10" xr:uid="{00000000-0005-0000-0000-00001F000000}"/>
    <cellStyle name="Währung 4" xfId="6" xr:uid="{00000000-0005-0000-0000-000020000000}"/>
    <cellStyle name="Währung 4 2" xfId="11" xr:uid="{00000000-0005-0000-0000-000021000000}"/>
    <cellStyle name="Währung 4 2 2" xfId="19" xr:uid="{00000000-0005-0000-0000-000022000000}"/>
    <cellStyle name="Währung 4 2 2 2" xfId="36" xr:uid="{00000000-0005-0000-0000-000023000000}"/>
    <cellStyle name="Währung 4 2 2 3" xfId="51" xr:uid="{00000000-0005-0000-0000-000024000000}"/>
    <cellStyle name="Währung 4 2 3" xfId="15" xr:uid="{00000000-0005-0000-0000-000025000000}"/>
    <cellStyle name="Währung 4 2 3 2" xfId="32" xr:uid="{00000000-0005-0000-0000-000026000000}"/>
    <cellStyle name="Währung 4 2 3 3" xfId="47" xr:uid="{00000000-0005-0000-0000-000027000000}"/>
    <cellStyle name="Währung 4 2 4" xfId="28" xr:uid="{00000000-0005-0000-0000-000028000000}"/>
    <cellStyle name="Währung 4 2 5" xfId="43" xr:uid="{00000000-0005-0000-0000-000029000000}"/>
    <cellStyle name="Währung 4 3" xfId="17" xr:uid="{00000000-0005-0000-0000-00002A000000}"/>
    <cellStyle name="Währung 4 3 2" xfId="34" xr:uid="{00000000-0005-0000-0000-00002B000000}"/>
    <cellStyle name="Währung 4 3 3" xfId="49" xr:uid="{00000000-0005-0000-0000-00002C000000}"/>
    <cellStyle name="Währung 4 4" xfId="13" xr:uid="{00000000-0005-0000-0000-00002D000000}"/>
    <cellStyle name="Währung 4 4 2" xfId="30" xr:uid="{00000000-0005-0000-0000-00002E000000}"/>
    <cellStyle name="Währung 4 4 3" xfId="45" xr:uid="{00000000-0005-0000-0000-00002F000000}"/>
    <cellStyle name="Währung 4 5" xfId="26" xr:uid="{00000000-0005-0000-0000-000030000000}"/>
    <cellStyle name="Währung 4 6" xfId="41" xr:uid="{00000000-0005-0000-0000-000031000000}"/>
    <cellStyle name="Währung 5" xfId="25" xr:uid="{00000000-0005-0000-0000-000032000000}"/>
    <cellStyle name="Währung 6" xfId="21" xr:uid="{00000000-0005-0000-0000-000033000000}"/>
    <cellStyle name="Währung 7" xfId="39" xr:uid="{00000000-0005-0000-0000-000034000000}"/>
  </cellStyles>
  <dxfs count="7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sz val="8"/>
        <color theme="0"/>
      </font>
      <fill>
        <patternFill patternType="none"/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0</xdr:row>
      <xdr:rowOff>28575</xdr:rowOff>
    </xdr:from>
    <xdr:to>
      <xdr:col>24</xdr:col>
      <xdr:colOff>631825</xdr:colOff>
      <xdr:row>2</xdr:row>
      <xdr:rowOff>44450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4723FCC-29CE-424B-801F-8E268F353301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hc3lzbWljcm8uc2hhcmVwb2ludC5jb20vOnU6L3MvQ29uY2VwdEFTWVNEb2N1bWVudFNlcnZlci9FWVNVbjZpWlVtVklnTkdBVjdOSllqSUJRQUc5VE1GZV9HQTB5T3REakJLSUpn&quot;}"/>
            </a:ext>
          </a:extLst>
        </xdr:cNvPr>
        <xdr:cNvSpPr/>
      </xdr:nvSpPr>
      <xdr:spPr>
        <a:xfrm>
          <a:off x="17392650" y="28575"/>
          <a:ext cx="2755900" cy="292100"/>
        </a:xfrm>
        <a:prstGeom prst="round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Unhide all rows and columns of 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ysmicro.sharepoint.com/sites/ConceptASYSDocumentServer/Freigegebene%20Dokumente/General/08_Engineering/01_Analysis/RCA/Templates/NEUE-MAtrix(Wochenlieferung-ab-7-Roboter)/180713%20Scara-NT-AVR_PREISE-neu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 - ASML Scara XT"/>
      <sheetName val="Scara - NT (neu)"/>
      <sheetName val="Verpackung"/>
      <sheetName val="old - Scara - NT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3D620-4094-4E65-A25B-A52D99D61D8B}" name="MatrixTable" displayName="MatrixTable" ref="B3:G84" totalsRowShown="0" headerRowDxfId="6" tableBorderDxfId="5">
  <autoFilter ref="B3:G84" xr:uid="{5F63D620-4094-4E65-A25B-A52D99D61D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687085C-039F-448F-B1B7-CE528E50CBAC}" name="module_part" dataDxfId="4"/>
    <tableColumn id="2" xr3:uid="{D05EE6BD-7D65-44C9-8FE1-415C9FE56D7C}" name="id_no" dataDxfId="3"/>
    <tableColumn id="3" xr3:uid="{FDFA0339-4CB3-4538-8CC1-F13DA590B90B}" name="price" dataDxfId="2"/>
    <tableColumn id="4" xr3:uid="{9E40AB15-8425-40B5-AE2D-478638C59AA5}" name="need_amount" dataDxfId="1"/>
    <tableColumn id="5" xr3:uid="{34BB0D33-8845-4997-B1A7-DA0D208413AF}" name="price_sum" dataDxfId="0"/>
    <tableColumn id="6" xr3:uid="{B628C974-6D2A-4064-92DA-1E3C3046D561}" name="欄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H113"/>
  <sheetViews>
    <sheetView tabSelected="1" view="pageBreakPreview" topLeftCell="A4" zoomScaleNormal="90" zoomScaleSheetLayoutView="100" workbookViewId="0">
      <selection activeCell="C20" sqref="C20"/>
    </sheetView>
  </sheetViews>
  <sheetFormatPr defaultColWidth="9.140625" defaultRowHeight="12.75" outlineLevelRow="1" outlineLevelCol="1" x14ac:dyDescent="0.2"/>
  <cols>
    <col min="1" max="1" width="5.42578125" customWidth="1"/>
    <col min="2" max="2" width="35.85546875" customWidth="1"/>
    <col min="3" max="3" width="63.5703125" customWidth="1"/>
    <col min="4" max="4" width="5.85546875" customWidth="1" outlineLevel="1"/>
    <col min="5" max="5" width="9" style="1" customWidth="1"/>
    <col min="6" max="6" width="60.7109375" style="1" bestFit="1" customWidth="1"/>
    <col min="7" max="7" width="4.28515625" style="1" customWidth="1"/>
    <col min="8" max="10" width="11.85546875" style="1" hidden="1" customWidth="1" outlineLevel="1"/>
    <col min="11" max="11" width="4.140625" style="1" hidden="1" customWidth="1" outlineLevel="1"/>
    <col min="12" max="12" width="9.140625" style="1" hidden="1" customWidth="1" outlineLevel="1"/>
    <col min="13" max="14" width="3.85546875" style="1" hidden="1" customWidth="1" outlineLevel="1"/>
    <col min="15" max="15" width="9.7109375" style="8" customWidth="1" collapsed="1"/>
    <col min="16" max="16" width="35.7109375" style="1" bestFit="1" customWidth="1"/>
    <col min="17" max="17" width="2" style="1" bestFit="1" customWidth="1"/>
    <col min="18" max="18" width="8.42578125" style="1" bestFit="1" customWidth="1"/>
    <col min="19" max="19" width="24.42578125" style="1" customWidth="1"/>
    <col min="20" max="20" width="14" style="1" customWidth="1"/>
    <col min="21" max="21" width="11" style="1" customWidth="1"/>
    <col min="22" max="22" width="9.28515625" style="1" customWidth="1"/>
    <col min="23" max="23" width="11.42578125" customWidth="1"/>
    <col min="24" max="24" width="11.5703125" style="9" customWidth="1"/>
    <col min="25" max="25" width="24.140625" customWidth="1"/>
    <col min="26" max="26" width="13.42578125" customWidth="1"/>
    <col min="27" max="27" width="20.5703125" bestFit="1" customWidth="1"/>
    <col min="28" max="28" width="14.85546875" bestFit="1" customWidth="1"/>
    <col min="30" max="30" width="23.5703125" bestFit="1" customWidth="1"/>
    <col min="31" max="31" width="16.140625" customWidth="1"/>
  </cols>
  <sheetData>
    <row r="1" spans="1:34" ht="3.75" customHeight="1" thickBot="1" x14ac:dyDescent="0.25">
      <c r="A1" s="12"/>
      <c r="B1" s="12"/>
      <c r="C1" s="12"/>
      <c r="D1" s="12"/>
      <c r="E1" s="10"/>
      <c r="F1" s="10"/>
      <c r="G1" s="10"/>
      <c r="H1" s="10"/>
      <c r="I1" s="10"/>
      <c r="J1" s="10"/>
      <c r="K1" s="10"/>
      <c r="L1" s="112"/>
      <c r="M1" s="114" t="s">
        <v>0</v>
      </c>
      <c r="N1" s="13"/>
      <c r="O1" s="104"/>
      <c r="P1" s="7"/>
      <c r="Q1" s="7"/>
      <c r="X1" s="4"/>
    </row>
    <row r="2" spans="1:34" ht="18.75" thickBot="1" x14ac:dyDescent="0.25">
      <c r="A2" s="12"/>
      <c r="B2" s="139" t="s">
        <v>1</v>
      </c>
      <c r="C2" s="139"/>
      <c r="D2" s="139"/>
      <c r="E2" s="139"/>
      <c r="F2" s="139"/>
      <c r="G2" s="14"/>
      <c r="H2" s="10"/>
      <c r="I2" s="10"/>
      <c r="J2" s="10"/>
      <c r="K2" s="10"/>
      <c r="L2" s="112"/>
      <c r="M2" s="114"/>
      <c r="N2" s="79"/>
      <c r="O2" s="95"/>
      <c r="P2" s="110"/>
      <c r="Q2" s="110"/>
      <c r="X2" s="5"/>
    </row>
    <row r="3" spans="1:34" ht="9" customHeight="1" x14ac:dyDescent="0.2">
      <c r="A3" s="12"/>
      <c r="B3" s="122" t="s">
        <v>2</v>
      </c>
      <c r="C3" s="122" t="s">
        <v>3</v>
      </c>
      <c r="D3" s="122" t="s">
        <v>4</v>
      </c>
      <c r="E3" s="123" t="s">
        <v>5</v>
      </c>
      <c r="F3" s="123" t="s">
        <v>6</v>
      </c>
      <c r="G3" s="136" t="s">
        <v>89</v>
      </c>
      <c r="H3" s="10"/>
      <c r="I3" s="10"/>
      <c r="J3" s="10"/>
      <c r="K3" s="10"/>
      <c r="L3" s="10"/>
      <c r="M3" s="10"/>
      <c r="N3" s="10"/>
      <c r="X3" s="6"/>
    </row>
    <row r="4" spans="1:34" x14ac:dyDescent="0.2">
      <c r="A4" s="12"/>
      <c r="B4" s="15" t="s">
        <v>7</v>
      </c>
      <c r="C4" s="80"/>
      <c r="D4" s="12"/>
      <c r="E4" s="10"/>
      <c r="F4" s="75" t="s">
        <v>83</v>
      </c>
      <c r="G4" s="17"/>
      <c r="H4" s="10"/>
      <c r="I4" s="10"/>
      <c r="J4" s="10"/>
      <c r="K4" s="10"/>
      <c r="L4" s="10"/>
      <c r="M4" s="10"/>
      <c r="N4" s="16"/>
    </row>
    <row r="5" spans="1:34" ht="12.75" customHeight="1" x14ac:dyDescent="0.2">
      <c r="A5" s="12"/>
      <c r="B5" s="15" t="s">
        <v>8</v>
      </c>
      <c r="C5" s="113"/>
      <c r="D5" s="113"/>
      <c r="E5" s="113"/>
      <c r="F5" s="75" t="s">
        <v>81</v>
      </c>
      <c r="G5" s="10"/>
      <c r="H5" s="10"/>
      <c r="I5" s="10"/>
      <c r="J5" s="10"/>
      <c r="K5" s="10"/>
      <c r="L5" s="10"/>
      <c r="M5" s="10"/>
      <c r="N5" s="16"/>
    </row>
    <row r="6" spans="1:34" ht="13.5" customHeight="1" x14ac:dyDescent="0.2">
      <c r="A6" s="12"/>
      <c r="B6" s="15"/>
      <c r="D6" s="76"/>
      <c r="E6" s="77"/>
      <c r="F6" s="15" t="s">
        <v>82</v>
      </c>
      <c r="G6" s="10"/>
      <c r="H6" s="10"/>
      <c r="I6" s="10"/>
      <c r="J6" s="10"/>
      <c r="K6" s="10"/>
      <c r="L6" s="10"/>
      <c r="M6" s="10"/>
      <c r="N6" s="10"/>
    </row>
    <row r="7" spans="1:34" s="69" customFormat="1" ht="13.5" customHeight="1" x14ac:dyDescent="0.2">
      <c r="A7" s="67"/>
      <c r="B7" s="79" t="s">
        <v>84</v>
      </c>
      <c r="C7" s="78" t="s">
        <v>9</v>
      </c>
      <c r="D7" s="12"/>
      <c r="E7" s="113"/>
      <c r="F7" s="10"/>
      <c r="G7" s="68"/>
      <c r="H7" s="68"/>
      <c r="I7" s="68"/>
      <c r="J7" s="68"/>
      <c r="K7" s="68"/>
      <c r="L7" s="68"/>
      <c r="M7" s="68"/>
      <c r="N7" s="68"/>
      <c r="O7" s="105"/>
    </row>
    <row r="8" spans="1:34" s="69" customFormat="1" ht="13.5" customHeight="1" x14ac:dyDescent="0.2">
      <c r="A8" s="67"/>
      <c r="B8" s="79" t="s">
        <v>84</v>
      </c>
      <c r="C8" s="67" t="s">
        <v>10</v>
      </c>
      <c r="D8" s="67"/>
      <c r="E8" s="68"/>
      <c r="F8" s="94"/>
      <c r="G8" s="68"/>
      <c r="H8" s="68"/>
      <c r="I8" s="68"/>
      <c r="J8" s="68"/>
      <c r="K8" s="68"/>
      <c r="L8" s="68"/>
      <c r="M8" s="68"/>
      <c r="N8" s="68"/>
      <c r="O8" s="105"/>
      <c r="Z8" s="67"/>
      <c r="AA8" s="67"/>
      <c r="AB8" s="67"/>
      <c r="AC8" s="67"/>
      <c r="AD8" s="67"/>
    </row>
    <row r="9" spans="1:34" ht="15" customHeight="1" thickBot="1" x14ac:dyDescent="0.25">
      <c r="A9" s="12"/>
      <c r="B9" s="79" t="s">
        <v>84</v>
      </c>
      <c r="C9" s="67" t="s">
        <v>11</v>
      </c>
      <c r="D9" s="67"/>
      <c r="E9" s="68"/>
      <c r="F9" s="94"/>
      <c r="G9" s="12"/>
      <c r="H9" s="10"/>
      <c r="I9" s="10"/>
      <c r="J9" s="10"/>
      <c r="K9" s="10"/>
      <c r="L9" s="112"/>
      <c r="M9" s="10"/>
      <c r="N9" s="10"/>
      <c r="Z9" s="12"/>
      <c r="AA9" s="12"/>
      <c r="AB9" s="12"/>
      <c r="AC9" s="12"/>
      <c r="AD9" s="12"/>
    </row>
    <row r="10" spans="1:34" s="3" customFormat="1" ht="25.5" customHeight="1" x14ac:dyDescent="0.25">
      <c r="A10" s="12"/>
      <c r="B10" s="18" t="s">
        <v>12</v>
      </c>
      <c r="C10" s="19"/>
      <c r="D10" s="19"/>
      <c r="E10" s="20"/>
      <c r="F10" s="21"/>
      <c r="G10" s="26"/>
      <c r="H10" s="14"/>
      <c r="I10" s="14"/>
      <c r="J10" s="14"/>
      <c r="K10" s="14"/>
      <c r="L10" s="112"/>
      <c r="M10" s="112"/>
      <c r="N10" s="112"/>
      <c r="O10" s="124"/>
      <c r="P10" s="124"/>
      <c r="AG10"/>
      <c r="AH10"/>
    </row>
    <row r="11" spans="1:34" s="2" customFormat="1" ht="15" x14ac:dyDescent="0.25">
      <c r="A11" s="12"/>
      <c r="B11" s="22" t="s">
        <v>13</v>
      </c>
      <c r="C11" s="47" t="s">
        <v>26</v>
      </c>
      <c r="D11" s="23" t="s">
        <v>14</v>
      </c>
      <c r="E11" s="24" t="s">
        <v>15</v>
      </c>
      <c r="F11" s="25" t="s">
        <v>80</v>
      </c>
      <c r="G11" s="15"/>
      <c r="H11" s="15"/>
      <c r="I11" s="15"/>
      <c r="J11" s="15"/>
      <c r="K11" s="15"/>
      <c r="L11" s="15"/>
      <c r="M11" s="15"/>
      <c r="N11" s="15"/>
      <c r="O11" s="125"/>
      <c r="P11" s="125"/>
      <c r="Q11"/>
      <c r="AE11" s="70"/>
      <c r="AF11" s="15"/>
      <c r="AG11"/>
      <c r="AH11"/>
    </row>
    <row r="12" spans="1:34" s="2" customFormat="1" ht="14.25" x14ac:dyDescent="0.2">
      <c r="A12" s="79"/>
      <c r="B12" s="27" t="s">
        <v>17</v>
      </c>
      <c r="C12" s="28"/>
      <c r="D12" s="29"/>
      <c r="E12" s="30"/>
      <c r="F12" s="31"/>
      <c r="G12" s="15"/>
      <c r="H12" s="15"/>
      <c r="I12" s="15"/>
      <c r="J12" s="15"/>
      <c r="K12" s="15"/>
      <c r="L12" s="15"/>
      <c r="M12" s="15"/>
      <c r="N12" s="15"/>
      <c r="O12" s="126"/>
      <c r="P12" s="126"/>
      <c r="Q12"/>
      <c r="AE12" s="70"/>
      <c r="AF12" s="15"/>
      <c r="AG12"/>
      <c r="AH12"/>
    </row>
    <row r="13" spans="1:34" s="2" customFormat="1" ht="14.25" x14ac:dyDescent="0.2">
      <c r="A13" s="12"/>
      <c r="B13" s="115" t="s">
        <v>18</v>
      </c>
      <c r="C13" s="34" t="s">
        <v>95</v>
      </c>
      <c r="D13" s="100" t="e">
        <f>#REF!</f>
        <v>#REF!</v>
      </c>
      <c r="E13" s="33"/>
      <c r="F13" s="34" t="s">
        <v>95</v>
      </c>
      <c r="G13" s="15"/>
      <c r="H13" s="15"/>
      <c r="I13" s="15"/>
      <c r="J13" s="15"/>
      <c r="K13" s="15"/>
      <c r="L13" s="15"/>
      <c r="M13" s="15"/>
      <c r="N13" s="15"/>
      <c r="O13" s="126"/>
      <c r="P13" s="126"/>
      <c r="Q13"/>
      <c r="AE13" s="71"/>
      <c r="AF13" s="15"/>
      <c r="AG13"/>
      <c r="AH13"/>
    </row>
    <row r="14" spans="1:34" s="2" customFormat="1" ht="14.25" x14ac:dyDescent="0.2">
      <c r="A14" s="12"/>
      <c r="B14" s="27" t="s">
        <v>19</v>
      </c>
      <c r="C14" s="35"/>
      <c r="D14" s="36"/>
      <c r="E14" s="37"/>
      <c r="F14" s="38"/>
      <c r="G14" s="15"/>
      <c r="H14" s="15"/>
      <c r="I14" s="15"/>
      <c r="J14" s="15"/>
      <c r="K14" s="15"/>
      <c r="L14" s="15"/>
      <c r="M14" s="15"/>
      <c r="N14" s="15"/>
      <c r="O14" s="126"/>
      <c r="P14" s="126"/>
      <c r="Q14"/>
      <c r="AE14" s="71"/>
      <c r="AF14" s="15"/>
      <c r="AG14"/>
      <c r="AH14"/>
    </row>
    <row r="15" spans="1:34" ht="14.25" x14ac:dyDescent="0.2">
      <c r="A15" s="12"/>
      <c r="B15" s="87" t="s">
        <v>20</v>
      </c>
      <c r="C15" s="138" t="s">
        <v>94</v>
      </c>
      <c r="D15" s="100" t="e">
        <f>#REF!</f>
        <v>#REF!</v>
      </c>
      <c r="E15" s="33"/>
      <c r="F15" s="138" t="s">
        <v>94</v>
      </c>
      <c r="G15" s="12"/>
      <c r="H15" s="10"/>
      <c r="I15" s="10"/>
      <c r="J15" s="10"/>
      <c r="K15" s="10"/>
      <c r="L15" s="10"/>
      <c r="M15" s="10"/>
      <c r="N15" s="10"/>
      <c r="O15" s="126"/>
      <c r="P15" s="126"/>
      <c r="Q15"/>
      <c r="AE15" s="70"/>
      <c r="AF15" s="12"/>
    </row>
    <row r="16" spans="1:34" ht="14.25" x14ac:dyDescent="0.2">
      <c r="A16" s="79"/>
      <c r="B16" s="27" t="s">
        <v>21</v>
      </c>
      <c r="C16" s="35"/>
      <c r="D16" s="36"/>
      <c r="E16" s="37"/>
      <c r="F16" s="38"/>
      <c r="G16" s="12"/>
      <c r="H16" s="10"/>
      <c r="I16" s="10"/>
      <c r="J16" s="10"/>
      <c r="K16" s="10"/>
      <c r="L16" s="10"/>
      <c r="M16" s="10"/>
      <c r="N16" s="10"/>
      <c r="O16" s="126"/>
      <c r="P16" s="126"/>
      <c r="Q16"/>
      <c r="AE16" s="70"/>
      <c r="AF16" s="12"/>
    </row>
    <row r="17" spans="1:34" x14ac:dyDescent="0.2">
      <c r="A17" s="79"/>
      <c r="B17" s="39" t="s">
        <v>22</v>
      </c>
      <c r="C17" s="138" t="s">
        <v>91</v>
      </c>
      <c r="D17" s="100" t="e">
        <f>#REF!</f>
        <v>#REF!</v>
      </c>
      <c r="E17" s="33"/>
      <c r="F17" s="138" t="s">
        <v>91</v>
      </c>
      <c r="G17" s="12"/>
      <c r="H17" s="10"/>
      <c r="I17" s="10"/>
      <c r="J17" s="10"/>
      <c r="K17" s="10"/>
      <c r="L17" s="10"/>
      <c r="M17" s="10"/>
      <c r="N17" s="10"/>
      <c r="Q17"/>
      <c r="AE17" s="70"/>
      <c r="AF17" s="12"/>
    </row>
    <row r="18" spans="1:34" x14ac:dyDescent="0.2">
      <c r="A18" s="79"/>
      <c r="B18" s="72" t="s">
        <v>23</v>
      </c>
      <c r="C18" s="138" t="s">
        <v>92</v>
      </c>
      <c r="D18" s="100"/>
      <c r="E18" s="33"/>
      <c r="F18" s="34"/>
      <c r="G18" s="12"/>
      <c r="H18" s="10"/>
      <c r="I18" s="10"/>
      <c r="J18" s="10"/>
      <c r="K18" s="10"/>
      <c r="L18" s="10"/>
      <c r="M18" s="10"/>
      <c r="N18" s="10"/>
      <c r="Q18"/>
      <c r="AE18" s="70"/>
      <c r="AF18" s="12"/>
    </row>
    <row r="19" spans="1:34" x14ac:dyDescent="0.2">
      <c r="A19" s="79"/>
      <c r="B19" s="127"/>
      <c r="C19" s="32"/>
      <c r="D19" s="100"/>
      <c r="E19" s="33"/>
      <c r="F19" s="34"/>
      <c r="G19" s="12"/>
      <c r="H19" s="10"/>
      <c r="I19" s="10"/>
      <c r="J19" s="10"/>
      <c r="K19" s="10"/>
      <c r="L19" s="10"/>
      <c r="M19" s="10"/>
      <c r="N19" s="10"/>
      <c r="Q19"/>
      <c r="AE19" s="70"/>
      <c r="AF19" s="12"/>
    </row>
    <row r="20" spans="1:34" x14ac:dyDescent="0.2">
      <c r="A20" s="79"/>
      <c r="B20" s="127"/>
      <c r="C20" s="32"/>
      <c r="D20" s="100"/>
      <c r="E20" s="33"/>
      <c r="F20" s="34"/>
      <c r="G20" s="12"/>
      <c r="H20" s="10"/>
      <c r="I20" s="10"/>
      <c r="J20" s="10"/>
      <c r="K20" s="10"/>
      <c r="L20" s="10"/>
      <c r="M20" s="10"/>
      <c r="N20" s="10"/>
      <c r="Q20"/>
      <c r="AE20" s="70"/>
      <c r="AF20" s="12"/>
    </row>
    <row r="21" spans="1:34" x14ac:dyDescent="0.2">
      <c r="A21" s="79"/>
      <c r="B21" s="72" t="s">
        <v>23</v>
      </c>
      <c r="C21" s="138" t="s">
        <v>92</v>
      </c>
      <c r="D21" s="100" t="e">
        <f>#REF!</f>
        <v>#REF!</v>
      </c>
      <c r="E21" s="33"/>
      <c r="F21" s="138" t="s">
        <v>92</v>
      </c>
      <c r="G21" s="12"/>
      <c r="H21" s="10"/>
      <c r="I21" s="10"/>
      <c r="J21" s="10"/>
      <c r="K21" s="10"/>
      <c r="L21" s="10"/>
      <c r="M21" s="10"/>
      <c r="N21" s="10"/>
      <c r="Q21"/>
      <c r="AE21" s="70"/>
      <c r="AF21" s="12"/>
    </row>
    <row r="22" spans="1:34" ht="13.5" thickBot="1" x14ac:dyDescent="0.25">
      <c r="A22" s="79"/>
      <c r="B22" s="40"/>
      <c r="C22" s="41"/>
      <c r="D22" s="42"/>
      <c r="E22" s="43"/>
      <c r="F22" s="44"/>
      <c r="G22" s="12"/>
      <c r="H22" s="10"/>
      <c r="I22" s="10"/>
      <c r="J22" s="10"/>
      <c r="K22" s="10"/>
      <c r="L22" s="10"/>
      <c r="M22" s="10"/>
      <c r="N22" s="10"/>
      <c r="Q22"/>
      <c r="AE22" s="70"/>
      <c r="AF22" s="12"/>
    </row>
    <row r="23" spans="1:34" s="2" customFormat="1" ht="15" x14ac:dyDescent="0.25">
      <c r="A23" s="79"/>
      <c r="B23" s="18" t="s">
        <v>24</v>
      </c>
      <c r="C23" s="19"/>
      <c r="D23" s="45"/>
      <c r="E23" s="20"/>
      <c r="F23" s="21"/>
      <c r="G23" s="15"/>
      <c r="H23" s="15"/>
      <c r="I23" s="15"/>
      <c r="J23" s="15"/>
      <c r="K23" s="15"/>
      <c r="L23" s="15"/>
      <c r="M23" s="15"/>
      <c r="N23" s="15"/>
      <c r="O23" s="106"/>
      <c r="Q23"/>
      <c r="AE23" s="70"/>
      <c r="AF23" s="15"/>
      <c r="AG23"/>
      <c r="AH23"/>
    </row>
    <row r="24" spans="1:34" ht="13.5" thickBot="1" x14ac:dyDescent="0.25">
      <c r="A24" s="12"/>
      <c r="B24" s="46" t="s">
        <v>25</v>
      </c>
      <c r="C24" s="47" t="s">
        <v>26</v>
      </c>
      <c r="D24" s="48" t="s">
        <v>14</v>
      </c>
      <c r="E24" s="49"/>
      <c r="F24" s="128" t="s">
        <v>16</v>
      </c>
      <c r="G24" s="53"/>
      <c r="H24" s="10"/>
      <c r="I24" s="10"/>
      <c r="J24" s="10"/>
      <c r="K24" s="10"/>
      <c r="L24" s="10"/>
      <c r="M24" s="10"/>
      <c r="N24" s="15"/>
      <c r="Q24"/>
      <c r="AE24" s="70"/>
      <c r="AF24" s="12"/>
    </row>
    <row r="25" spans="1:34" x14ac:dyDescent="0.2">
      <c r="A25" s="12"/>
      <c r="B25" s="96" t="s">
        <v>27</v>
      </c>
      <c r="C25" s="51"/>
      <c r="D25" s="52" t="e">
        <f>#REF!</f>
        <v>#REF!</v>
      </c>
      <c r="E25" s="33"/>
      <c r="F25" s="129"/>
      <c r="G25" s="53"/>
      <c r="H25" s="10"/>
      <c r="I25" s="10"/>
      <c r="J25" s="10"/>
      <c r="K25" s="10"/>
      <c r="L25" s="10"/>
      <c r="M25" s="10"/>
      <c r="N25" s="15"/>
      <c r="Q25"/>
      <c r="AE25" s="70"/>
      <c r="AF25" s="12"/>
    </row>
    <row r="26" spans="1:34" ht="12.75" customHeight="1" x14ac:dyDescent="0.2">
      <c r="A26" s="12"/>
      <c r="B26" s="96" t="s">
        <v>28</v>
      </c>
      <c r="C26" s="129" t="s">
        <v>96</v>
      </c>
      <c r="D26" s="52" t="e">
        <f>#REF!</f>
        <v>#REF!</v>
      </c>
      <c r="E26" s="33"/>
      <c r="F26" s="129" t="s">
        <v>96</v>
      </c>
      <c r="G26" s="53"/>
      <c r="H26" s="10"/>
      <c r="I26" s="10"/>
      <c r="J26" s="10"/>
      <c r="K26" s="10"/>
      <c r="L26" s="10"/>
      <c r="M26" s="10"/>
      <c r="N26" s="15"/>
      <c r="Q26"/>
      <c r="AE26" s="70"/>
      <c r="AF26" s="12"/>
    </row>
    <row r="27" spans="1:34" ht="13.15" hidden="1" customHeight="1" outlineLevel="1" x14ac:dyDescent="0.2">
      <c r="A27" s="12"/>
      <c r="B27" s="74"/>
      <c r="C27" s="51"/>
      <c r="D27" s="52"/>
      <c r="E27" s="33"/>
      <c r="F27" s="129"/>
      <c r="G27" s="15"/>
      <c r="H27" s="10"/>
      <c r="I27" s="10"/>
      <c r="J27" s="10"/>
      <c r="K27" s="10"/>
      <c r="L27" s="10"/>
      <c r="M27" s="10"/>
      <c r="N27" s="15"/>
      <c r="Q27"/>
      <c r="AE27" s="70"/>
      <c r="AF27" s="12"/>
    </row>
    <row r="28" spans="1:34" collapsed="1" x14ac:dyDescent="0.2">
      <c r="A28" s="12"/>
      <c r="B28" s="72" t="s">
        <v>29</v>
      </c>
      <c r="C28" s="129">
        <v>610301</v>
      </c>
      <c r="D28" s="52" t="e">
        <f>#REF!</f>
        <v>#REF!</v>
      </c>
      <c r="E28" s="33"/>
      <c r="F28" s="129">
        <v>610301</v>
      </c>
      <c r="G28" s="15"/>
      <c r="H28" s="10"/>
      <c r="I28" s="10"/>
      <c r="J28" s="10"/>
      <c r="K28" s="10"/>
      <c r="L28" s="10"/>
      <c r="M28" s="10"/>
      <c r="N28" s="15"/>
      <c r="Q28"/>
      <c r="AE28" s="70"/>
      <c r="AF28" s="12"/>
    </row>
    <row r="29" spans="1:34" x14ac:dyDescent="0.2">
      <c r="A29" s="12"/>
      <c r="B29" s="74" t="s">
        <v>30</v>
      </c>
      <c r="C29" s="135" t="s">
        <v>87</v>
      </c>
      <c r="D29" s="52" t="e">
        <f>#REF!</f>
        <v>#REF!</v>
      </c>
      <c r="E29" s="33"/>
      <c r="F29" s="135" t="s">
        <v>87</v>
      </c>
      <c r="G29" s="15"/>
      <c r="H29" s="10"/>
      <c r="I29" s="10"/>
      <c r="J29" s="10"/>
      <c r="K29" s="10"/>
      <c r="L29" s="10"/>
      <c r="M29" s="10"/>
      <c r="N29" s="15"/>
      <c r="Q29"/>
      <c r="AE29" s="70"/>
      <c r="AF29" s="12"/>
    </row>
    <row r="30" spans="1:34" x14ac:dyDescent="0.2">
      <c r="A30" s="12"/>
      <c r="B30" s="74" t="s">
        <v>31</v>
      </c>
      <c r="C30" s="135" t="s">
        <v>93</v>
      </c>
      <c r="D30" s="52" t="e">
        <f>#REF!</f>
        <v>#REF!</v>
      </c>
      <c r="E30" s="33"/>
      <c r="F30" s="135" t="s">
        <v>93</v>
      </c>
      <c r="G30" s="15"/>
      <c r="H30" s="10"/>
      <c r="I30" s="10"/>
      <c r="J30" s="10"/>
      <c r="K30" s="10"/>
      <c r="L30" s="10"/>
      <c r="M30" s="10"/>
      <c r="N30" s="15"/>
      <c r="Q30"/>
      <c r="AE30" s="70"/>
      <c r="AF30" s="12"/>
    </row>
    <row r="31" spans="1:34" x14ac:dyDescent="0.2">
      <c r="A31" s="12"/>
      <c r="B31" s="74"/>
      <c r="C31" s="51"/>
      <c r="D31" s="52"/>
      <c r="E31" s="33"/>
      <c r="F31" s="129"/>
      <c r="G31" s="15"/>
      <c r="H31" s="55"/>
      <c r="I31" s="55"/>
      <c r="J31" s="55"/>
      <c r="K31" s="55"/>
      <c r="L31" s="10"/>
      <c r="M31" s="10"/>
      <c r="N31" s="15"/>
      <c r="Q31"/>
      <c r="AE31" s="70"/>
      <c r="AF31" s="12"/>
    </row>
    <row r="32" spans="1:34" x14ac:dyDescent="0.2">
      <c r="A32" s="12"/>
      <c r="B32" s="72" t="s">
        <v>32</v>
      </c>
      <c r="C32" s="135" t="s">
        <v>90</v>
      </c>
      <c r="D32" s="52" t="e">
        <f>#REF!</f>
        <v>#REF!</v>
      </c>
      <c r="E32" s="33"/>
      <c r="F32" s="135" t="s">
        <v>90</v>
      </c>
      <c r="G32" s="15"/>
      <c r="H32" s="55"/>
      <c r="I32" s="55"/>
      <c r="J32" s="55"/>
      <c r="K32" s="55"/>
      <c r="L32" s="10"/>
      <c r="M32" s="10"/>
      <c r="N32" s="15"/>
      <c r="Q32"/>
      <c r="AE32" s="70"/>
      <c r="AF32" s="12"/>
    </row>
    <row r="33" spans="1:34" ht="13.5" thickBot="1" x14ac:dyDescent="0.25">
      <c r="A33" s="12"/>
      <c r="B33" s="41"/>
      <c r="C33" s="41"/>
      <c r="D33" s="42"/>
      <c r="E33" s="56"/>
      <c r="F33" s="130"/>
      <c r="G33" s="112"/>
      <c r="H33" s="114"/>
      <c r="I33" s="114"/>
      <c r="J33" s="114"/>
      <c r="K33" s="114"/>
      <c r="L33" s="10"/>
      <c r="M33" s="10"/>
      <c r="N33" s="15"/>
      <c r="Q33"/>
      <c r="AE33" s="70"/>
      <c r="AF33" s="12"/>
    </row>
    <row r="34" spans="1:34" ht="13.5" thickBot="1" x14ac:dyDescent="0.25">
      <c r="A34" s="12"/>
      <c r="B34" s="57"/>
      <c r="C34" s="51"/>
      <c r="D34" s="52"/>
      <c r="E34" s="10"/>
      <c r="F34" s="131"/>
      <c r="G34" s="112"/>
      <c r="H34" s="10"/>
      <c r="I34" s="10"/>
      <c r="J34" s="10"/>
      <c r="K34" s="10"/>
      <c r="L34" s="10"/>
      <c r="M34" s="10"/>
      <c r="N34" s="10"/>
      <c r="Q34"/>
      <c r="AE34" s="70"/>
      <c r="AF34" s="12"/>
    </row>
    <row r="35" spans="1:34" s="2" customFormat="1" ht="15" x14ac:dyDescent="0.25">
      <c r="A35" s="15"/>
      <c r="B35" s="18" t="s">
        <v>33</v>
      </c>
      <c r="C35" s="19"/>
      <c r="D35" s="45"/>
      <c r="E35" s="20"/>
      <c r="F35" s="132"/>
      <c r="G35" s="15"/>
      <c r="H35" s="15"/>
      <c r="I35" s="15"/>
      <c r="J35" s="15"/>
      <c r="K35" s="15"/>
      <c r="L35" s="15"/>
      <c r="M35" s="15"/>
      <c r="N35" s="15"/>
      <c r="O35" s="106"/>
      <c r="Q35"/>
      <c r="AE35" s="70"/>
      <c r="AF35" s="15"/>
      <c r="AG35"/>
      <c r="AH35"/>
    </row>
    <row r="36" spans="1:34" s="2" customFormat="1" ht="13.5" thickBot="1" x14ac:dyDescent="0.25">
      <c r="A36" s="15"/>
      <c r="B36" s="46" t="s">
        <v>13</v>
      </c>
      <c r="C36" s="47"/>
      <c r="D36" s="48" t="s">
        <v>14</v>
      </c>
      <c r="E36" s="49"/>
      <c r="F36" s="128" t="s">
        <v>16</v>
      </c>
      <c r="G36" s="15"/>
      <c r="H36" s="15"/>
      <c r="I36" s="15"/>
      <c r="J36" s="15"/>
      <c r="K36" s="15"/>
      <c r="L36" s="15"/>
      <c r="M36" s="15"/>
      <c r="N36" s="15"/>
      <c r="O36" s="106"/>
      <c r="Q36"/>
      <c r="AE36" s="70"/>
      <c r="AF36" s="15"/>
      <c r="AG36"/>
      <c r="AH36"/>
    </row>
    <row r="37" spans="1:34" x14ac:dyDescent="0.2">
      <c r="A37" s="79"/>
      <c r="B37" s="27" t="s">
        <v>34</v>
      </c>
      <c r="C37" s="35"/>
      <c r="D37" s="36"/>
      <c r="E37" s="37"/>
      <c r="F37" s="133"/>
      <c r="G37" s="53"/>
      <c r="H37" s="10"/>
      <c r="I37" s="10"/>
      <c r="J37" s="10"/>
      <c r="K37" s="10"/>
      <c r="L37" s="10"/>
      <c r="M37" s="10"/>
      <c r="N37" s="10"/>
      <c r="Q37"/>
      <c r="AE37" s="70"/>
      <c r="AF37" s="12"/>
    </row>
    <row r="38" spans="1:34" x14ac:dyDescent="0.2">
      <c r="A38" s="79"/>
      <c r="B38" s="74" t="s">
        <v>35</v>
      </c>
      <c r="C38" s="129" t="s">
        <v>97</v>
      </c>
      <c r="D38" s="101" t="e">
        <f>#REF!</f>
        <v>#REF!</v>
      </c>
      <c r="E38" s="54"/>
      <c r="F38" s="129" t="s">
        <v>97</v>
      </c>
      <c r="G38" s="53"/>
      <c r="H38" s="10"/>
      <c r="I38" s="10"/>
      <c r="J38" s="10"/>
      <c r="K38" s="10"/>
      <c r="L38" s="10"/>
      <c r="M38" s="10"/>
      <c r="N38" s="10"/>
      <c r="Q38"/>
      <c r="AE38" s="70"/>
      <c r="AF38" s="12"/>
    </row>
    <row r="39" spans="1:34" x14ac:dyDescent="0.2">
      <c r="A39" s="79"/>
      <c r="B39" s="74" t="s">
        <v>36</v>
      </c>
      <c r="C39" s="129" t="s">
        <v>98</v>
      </c>
      <c r="D39" s="101" t="e">
        <f>#REF!</f>
        <v>#REF!</v>
      </c>
      <c r="E39" s="54"/>
      <c r="F39" s="129" t="s">
        <v>98</v>
      </c>
      <c r="G39" s="53"/>
      <c r="H39" s="10"/>
      <c r="I39" s="10"/>
      <c r="J39" s="10"/>
      <c r="K39" s="10"/>
      <c r="L39" s="10"/>
      <c r="M39" s="10"/>
      <c r="N39" s="10"/>
      <c r="Q39"/>
      <c r="AE39" s="70"/>
      <c r="AF39" s="12"/>
    </row>
    <row r="40" spans="1:34" x14ac:dyDescent="0.2">
      <c r="A40" s="79"/>
      <c r="B40" s="74" t="s">
        <v>37</v>
      </c>
      <c r="C40" s="129" t="s">
        <v>99</v>
      </c>
      <c r="D40" s="101" t="e">
        <f>#REF!</f>
        <v>#REF!</v>
      </c>
      <c r="E40" s="54"/>
      <c r="F40" s="129" t="s">
        <v>99</v>
      </c>
      <c r="G40" s="53"/>
      <c r="H40" s="10"/>
      <c r="I40" s="10"/>
      <c r="J40" s="10"/>
      <c r="K40" s="10"/>
      <c r="L40" s="10"/>
      <c r="M40" s="10"/>
      <c r="N40" s="10"/>
      <c r="Q40"/>
      <c r="AE40" s="70"/>
      <c r="AF40" s="12"/>
    </row>
    <row r="41" spans="1:34" x14ac:dyDescent="0.2">
      <c r="A41" s="79"/>
      <c r="B41" s="74" t="s">
        <v>38</v>
      </c>
      <c r="C41" s="129" t="s">
        <v>100</v>
      </c>
      <c r="D41" s="101" t="e">
        <f>#REF!</f>
        <v>#REF!</v>
      </c>
      <c r="E41" s="54"/>
      <c r="F41" s="129" t="s">
        <v>100</v>
      </c>
      <c r="G41" s="53"/>
      <c r="H41" s="10"/>
      <c r="I41" s="10"/>
      <c r="J41" s="10"/>
      <c r="K41" s="10"/>
      <c r="L41" s="10"/>
      <c r="M41" s="10"/>
      <c r="N41" s="10"/>
      <c r="Q41"/>
      <c r="AE41" s="70"/>
      <c r="AF41" s="12"/>
    </row>
    <row r="42" spans="1:34" x14ac:dyDescent="0.2">
      <c r="A42" s="79"/>
      <c r="B42" s="74" t="s">
        <v>39</v>
      </c>
      <c r="C42" s="129" t="s">
        <v>101</v>
      </c>
      <c r="D42" s="101" t="e">
        <f>#REF!</f>
        <v>#REF!</v>
      </c>
      <c r="E42" s="54"/>
      <c r="F42" s="129" t="s">
        <v>101</v>
      </c>
      <c r="G42" s="53"/>
      <c r="H42" s="10"/>
      <c r="I42" s="10"/>
      <c r="J42" s="10"/>
      <c r="K42" s="10"/>
      <c r="L42" s="10"/>
      <c r="M42" s="10"/>
      <c r="N42" s="10"/>
      <c r="Q42"/>
      <c r="AE42" s="70"/>
      <c r="AF42" s="12"/>
    </row>
    <row r="43" spans="1:34" x14ac:dyDescent="0.2">
      <c r="A43" s="79"/>
      <c r="B43" s="74" t="s">
        <v>40</v>
      </c>
      <c r="C43" s="129" t="s">
        <v>102</v>
      </c>
      <c r="D43" s="101" t="e">
        <f>#REF!</f>
        <v>#REF!</v>
      </c>
      <c r="E43" s="54"/>
      <c r="F43" s="129" t="s">
        <v>102</v>
      </c>
      <c r="G43" s="53"/>
      <c r="H43" s="10"/>
      <c r="I43" s="10"/>
      <c r="J43" s="10"/>
      <c r="K43" s="10"/>
      <c r="L43" s="10"/>
      <c r="M43" s="10"/>
      <c r="N43" s="10"/>
      <c r="Q43"/>
      <c r="AE43" s="70"/>
      <c r="AF43" s="12"/>
    </row>
    <row r="44" spans="1:34" x14ac:dyDescent="0.2">
      <c r="A44" s="79"/>
      <c r="B44" s="57" t="s">
        <v>41</v>
      </c>
      <c r="C44" s="129">
        <v>609743</v>
      </c>
      <c r="D44" s="101" t="e">
        <f>#REF!</f>
        <v>#REF!</v>
      </c>
      <c r="E44" s="54"/>
      <c r="F44" s="129">
        <v>609743</v>
      </c>
      <c r="G44" s="53"/>
      <c r="H44" s="10"/>
      <c r="I44" s="10"/>
      <c r="J44" s="10"/>
      <c r="K44" s="10"/>
      <c r="L44" s="10"/>
      <c r="M44" s="10"/>
      <c r="N44" s="10"/>
      <c r="Q44"/>
      <c r="AE44" s="70"/>
      <c r="AF44" s="12"/>
    </row>
    <row r="45" spans="1:34" x14ac:dyDescent="0.2">
      <c r="A45" s="79"/>
      <c r="B45" s="96" t="s">
        <v>42</v>
      </c>
      <c r="C45" s="129">
        <v>606168</v>
      </c>
      <c r="D45" s="101" t="e">
        <f>#REF!</f>
        <v>#REF!</v>
      </c>
      <c r="E45" s="54"/>
      <c r="F45" s="129">
        <v>606168</v>
      </c>
      <c r="G45" s="53"/>
      <c r="H45" s="10"/>
      <c r="I45" s="10"/>
      <c r="J45" s="10"/>
      <c r="K45" s="10"/>
      <c r="L45" s="10"/>
      <c r="M45" s="10"/>
      <c r="N45" s="10"/>
      <c r="Q45"/>
      <c r="AE45" s="70"/>
      <c r="AF45" s="12"/>
    </row>
    <row r="46" spans="1:34" x14ac:dyDescent="0.2">
      <c r="A46" s="79"/>
      <c r="B46" s="72" t="s">
        <v>43</v>
      </c>
      <c r="C46" s="129">
        <v>607169</v>
      </c>
      <c r="D46" s="101" t="e">
        <f>#REF!</f>
        <v>#REF!</v>
      </c>
      <c r="E46" s="54"/>
      <c r="F46" s="129">
        <v>607169</v>
      </c>
      <c r="G46" s="53"/>
      <c r="H46" s="10"/>
      <c r="I46" s="10"/>
      <c r="J46" s="10"/>
      <c r="K46" s="10"/>
      <c r="L46" s="10"/>
      <c r="M46" s="10"/>
      <c r="N46" s="10"/>
      <c r="Q46"/>
      <c r="AE46" s="70"/>
      <c r="AF46" s="12"/>
    </row>
    <row r="47" spans="1:34" x14ac:dyDescent="0.2">
      <c r="A47" s="79"/>
      <c r="B47" s="74" t="s">
        <v>44</v>
      </c>
      <c r="C47" s="129" t="s">
        <v>103</v>
      </c>
      <c r="D47" s="101" t="e">
        <f>#REF!</f>
        <v>#REF!</v>
      </c>
      <c r="E47" s="54"/>
      <c r="F47" s="129" t="s">
        <v>103</v>
      </c>
      <c r="G47" s="53"/>
      <c r="H47" s="10"/>
      <c r="I47" s="10"/>
      <c r="J47" s="10"/>
      <c r="K47" s="10"/>
      <c r="L47" s="10"/>
      <c r="M47" s="10"/>
      <c r="N47" s="10"/>
      <c r="Q47"/>
      <c r="AE47" s="70"/>
      <c r="AF47" s="12"/>
    </row>
    <row r="48" spans="1:34" x14ac:dyDescent="0.2">
      <c r="A48" s="79"/>
      <c r="B48" s="74" t="s">
        <v>45</v>
      </c>
      <c r="C48" s="129">
        <v>612038</v>
      </c>
      <c r="D48" s="101" t="e">
        <f>#REF!</f>
        <v>#REF!</v>
      </c>
      <c r="E48" s="54"/>
      <c r="F48" s="129">
        <v>612038</v>
      </c>
      <c r="G48" s="53"/>
      <c r="H48" s="10"/>
      <c r="I48" s="10"/>
      <c r="J48" s="10"/>
      <c r="K48" s="10"/>
      <c r="L48" s="10"/>
      <c r="M48" s="10"/>
      <c r="N48" s="10"/>
      <c r="Q48"/>
      <c r="AE48" s="70"/>
      <c r="AF48" s="12"/>
    </row>
    <row r="49" spans="1:34" x14ac:dyDescent="0.2">
      <c r="A49" s="79"/>
      <c r="B49" s="74" t="s">
        <v>46</v>
      </c>
      <c r="C49" s="129" t="s">
        <v>104</v>
      </c>
      <c r="D49" s="101" t="e">
        <f>#REF!</f>
        <v>#REF!</v>
      </c>
      <c r="E49" s="54"/>
      <c r="F49" s="129" t="s">
        <v>104</v>
      </c>
      <c r="G49" s="53"/>
      <c r="H49" s="10"/>
      <c r="I49" s="10"/>
      <c r="J49" s="10"/>
      <c r="K49" s="10"/>
      <c r="L49" s="10"/>
      <c r="M49" s="10"/>
      <c r="N49" s="58"/>
      <c r="Q49"/>
      <c r="AE49" s="70"/>
      <c r="AF49" s="12"/>
    </row>
    <row r="50" spans="1:34" s="2" customFormat="1" x14ac:dyDescent="0.2">
      <c r="A50" s="15"/>
      <c r="B50" s="57" t="s">
        <v>47</v>
      </c>
      <c r="C50" s="51"/>
      <c r="D50" s="52"/>
      <c r="E50" s="116"/>
      <c r="F50" s="131"/>
      <c r="G50" s="53"/>
      <c r="H50" s="15"/>
      <c r="I50" s="15"/>
      <c r="J50" s="15"/>
      <c r="K50" s="15"/>
      <c r="L50" s="15"/>
      <c r="M50" s="15"/>
      <c r="N50" s="15"/>
      <c r="O50" s="106"/>
      <c r="Q50"/>
      <c r="AE50" s="70"/>
      <c r="AF50" s="15"/>
      <c r="AG50"/>
      <c r="AH50"/>
    </row>
    <row r="51" spans="1:34" x14ac:dyDescent="0.2">
      <c r="A51" s="79"/>
      <c r="B51" s="27" t="s">
        <v>48</v>
      </c>
      <c r="C51" s="35"/>
      <c r="D51" s="36"/>
      <c r="E51" s="37"/>
      <c r="F51" s="133"/>
      <c r="G51" s="53"/>
      <c r="H51" s="10"/>
      <c r="I51" s="10"/>
      <c r="J51" s="10"/>
      <c r="K51" s="10"/>
      <c r="L51" s="114"/>
      <c r="M51" s="10"/>
      <c r="N51" s="10"/>
      <c r="Q51"/>
      <c r="AE51" s="70"/>
      <c r="AF51" s="12"/>
    </row>
    <row r="52" spans="1:34" x14ac:dyDescent="0.2">
      <c r="A52" s="79"/>
      <c r="B52" s="74" t="s">
        <v>49</v>
      </c>
      <c r="C52" s="129">
        <v>400370</v>
      </c>
      <c r="D52" s="101" t="e">
        <f>#REF!</f>
        <v>#REF!</v>
      </c>
      <c r="E52" s="54"/>
      <c r="F52" s="129">
        <v>400370</v>
      </c>
      <c r="G52" s="53"/>
      <c r="H52" s="10"/>
      <c r="I52" s="10"/>
      <c r="J52" s="10"/>
      <c r="K52" s="10"/>
      <c r="L52" s="114"/>
      <c r="M52" s="10"/>
      <c r="N52" s="10"/>
      <c r="Q52"/>
      <c r="AE52" s="70"/>
      <c r="AF52" s="12"/>
    </row>
    <row r="53" spans="1:34" x14ac:dyDescent="0.2">
      <c r="A53" s="79"/>
      <c r="B53" s="57" t="s">
        <v>50</v>
      </c>
      <c r="C53" s="129">
        <v>604303</v>
      </c>
      <c r="D53" s="101" t="e">
        <f>#REF!</f>
        <v>#REF!</v>
      </c>
      <c r="E53" s="54"/>
      <c r="F53" s="129">
        <v>604303</v>
      </c>
      <c r="G53" s="53"/>
      <c r="H53" s="10"/>
      <c r="I53" s="10"/>
      <c r="J53" s="10"/>
      <c r="K53" s="10"/>
      <c r="L53" s="114"/>
      <c r="M53" s="10"/>
      <c r="N53" s="10"/>
      <c r="Q53"/>
      <c r="AE53" s="70"/>
      <c r="AF53" s="12"/>
    </row>
    <row r="54" spans="1:34" x14ac:dyDescent="0.2">
      <c r="A54" s="79"/>
      <c r="B54" s="57" t="s">
        <v>51</v>
      </c>
      <c r="C54" s="129">
        <v>604336</v>
      </c>
      <c r="D54" s="101" t="e">
        <f>#REF!</f>
        <v>#REF!</v>
      </c>
      <c r="E54" s="54"/>
      <c r="F54" s="129">
        <v>604336</v>
      </c>
      <c r="G54" s="53"/>
      <c r="H54" s="10"/>
      <c r="I54" s="10"/>
      <c r="J54" s="10"/>
      <c r="K54" s="10"/>
      <c r="L54" s="114"/>
      <c r="M54" s="10"/>
      <c r="N54" s="10"/>
      <c r="Q54"/>
      <c r="AE54" s="70"/>
      <c r="AF54" s="12"/>
    </row>
    <row r="55" spans="1:34" x14ac:dyDescent="0.2">
      <c r="A55" s="79"/>
      <c r="B55" s="74" t="s">
        <v>52</v>
      </c>
      <c r="C55" s="129">
        <v>400370</v>
      </c>
      <c r="D55" s="101" t="e">
        <f>#REF!</f>
        <v>#REF!</v>
      </c>
      <c r="E55" s="54"/>
      <c r="F55" s="129">
        <v>400370</v>
      </c>
      <c r="G55" s="53"/>
      <c r="H55" s="10"/>
      <c r="I55" s="10"/>
      <c r="J55" s="10"/>
      <c r="K55" s="10"/>
      <c r="L55" s="114"/>
      <c r="M55" s="10"/>
      <c r="N55" s="10"/>
      <c r="Q55"/>
      <c r="AE55" s="70"/>
      <c r="AF55" s="12"/>
    </row>
    <row r="56" spans="1:34" x14ac:dyDescent="0.2">
      <c r="A56" s="79"/>
      <c r="B56" s="102" t="s">
        <v>53</v>
      </c>
      <c r="C56" s="129">
        <v>400390</v>
      </c>
      <c r="D56" s="101" t="e">
        <f>#REF!</f>
        <v>#REF!</v>
      </c>
      <c r="E56" s="54"/>
      <c r="F56" s="129">
        <v>400390</v>
      </c>
      <c r="G56" s="53"/>
      <c r="H56" s="10"/>
      <c r="I56" s="10"/>
      <c r="J56" s="10"/>
      <c r="K56" s="10"/>
      <c r="L56" s="10"/>
      <c r="M56" s="10"/>
      <c r="N56" s="58"/>
      <c r="Q56"/>
      <c r="AE56" s="12"/>
      <c r="AF56" s="12"/>
    </row>
    <row r="57" spans="1:34" s="2" customFormat="1" x14ac:dyDescent="0.2">
      <c r="A57" s="15"/>
      <c r="B57" s="57" t="s">
        <v>54</v>
      </c>
      <c r="C57" s="51"/>
      <c r="D57" s="51"/>
      <c r="E57" s="116"/>
      <c r="F57" s="131"/>
      <c r="G57" s="53"/>
      <c r="H57" s="15"/>
      <c r="I57" s="15"/>
      <c r="J57" s="15"/>
      <c r="K57" s="15"/>
      <c r="L57" s="15"/>
      <c r="M57" s="15"/>
      <c r="N57" s="15"/>
      <c r="O57" s="106"/>
      <c r="Q57"/>
      <c r="AE57" s="15"/>
      <c r="AF57" s="15"/>
    </row>
    <row r="58" spans="1:34" x14ac:dyDescent="0.2">
      <c r="A58" s="79"/>
      <c r="B58" s="27" t="s">
        <v>55</v>
      </c>
      <c r="C58" s="35"/>
      <c r="D58" s="36"/>
      <c r="E58" s="37"/>
      <c r="F58" s="133"/>
      <c r="G58" s="53"/>
      <c r="H58" s="10"/>
      <c r="I58" s="10"/>
      <c r="J58" s="10"/>
      <c r="K58" s="10"/>
      <c r="L58" s="10"/>
      <c r="M58" s="10"/>
      <c r="N58" s="10"/>
      <c r="Q58"/>
      <c r="AE58" s="12"/>
      <c r="AF58" s="12"/>
    </row>
    <row r="59" spans="1:34" x14ac:dyDescent="0.2">
      <c r="A59" s="79"/>
      <c r="B59" s="96" t="s">
        <v>56</v>
      </c>
      <c r="C59" s="129">
        <v>605706</v>
      </c>
      <c r="D59" s="52" t="e">
        <f>#REF!</f>
        <v>#REF!</v>
      </c>
      <c r="E59" s="54"/>
      <c r="F59" s="129">
        <v>605706</v>
      </c>
      <c r="G59" s="53"/>
      <c r="H59" s="10"/>
      <c r="I59" s="10"/>
      <c r="J59" s="10"/>
      <c r="K59" s="10"/>
      <c r="L59" s="10"/>
      <c r="M59" s="10"/>
      <c r="N59" s="10"/>
      <c r="Q59"/>
      <c r="AE59" s="12"/>
    </row>
    <row r="60" spans="1:34" x14ac:dyDescent="0.2">
      <c r="A60" s="79"/>
      <c r="B60" s="72" t="s">
        <v>57</v>
      </c>
      <c r="C60" s="129">
        <v>607172</v>
      </c>
      <c r="D60" s="52" t="e">
        <f>#REF!</f>
        <v>#REF!</v>
      </c>
      <c r="E60" s="54"/>
      <c r="F60" s="129">
        <v>607172</v>
      </c>
      <c r="G60" s="53"/>
      <c r="H60" s="10"/>
      <c r="I60" s="10"/>
      <c r="J60" s="10"/>
      <c r="K60" s="10"/>
      <c r="L60" s="10"/>
      <c r="M60" s="10"/>
      <c r="N60" s="10"/>
      <c r="Q60"/>
      <c r="AE60" s="12"/>
    </row>
    <row r="61" spans="1:34" x14ac:dyDescent="0.2">
      <c r="A61" s="79"/>
      <c r="B61" s="96" t="s">
        <v>58</v>
      </c>
      <c r="C61" s="129" t="s">
        <v>85</v>
      </c>
      <c r="D61" s="52" t="e">
        <f>#REF!</f>
        <v>#REF!</v>
      </c>
      <c r="E61" s="54"/>
      <c r="F61" s="129" t="s">
        <v>85</v>
      </c>
      <c r="G61" s="53"/>
      <c r="H61" s="10"/>
      <c r="I61" s="10"/>
      <c r="J61" s="10"/>
      <c r="K61" s="10"/>
      <c r="L61" s="10"/>
      <c r="M61" s="10"/>
      <c r="N61" s="10"/>
      <c r="Q61"/>
      <c r="AE61" s="12"/>
    </row>
    <row r="62" spans="1:34" x14ac:dyDescent="0.2">
      <c r="A62" s="79"/>
      <c r="B62" s="72" t="s">
        <v>59</v>
      </c>
      <c r="C62" s="129" t="s">
        <v>86</v>
      </c>
      <c r="D62" s="52" t="e">
        <f>#REF!</f>
        <v>#REF!</v>
      </c>
      <c r="E62" s="54"/>
      <c r="F62" s="129" t="s">
        <v>86</v>
      </c>
      <c r="G62" s="53"/>
      <c r="H62" s="10"/>
      <c r="I62" s="10"/>
      <c r="J62" s="10"/>
      <c r="K62" s="10"/>
      <c r="L62" s="114"/>
      <c r="M62" s="10"/>
      <c r="N62" s="10"/>
      <c r="Q62"/>
      <c r="AE62" s="12"/>
      <c r="AF62" s="12"/>
    </row>
    <row r="63" spans="1:34" x14ac:dyDescent="0.2">
      <c r="A63" s="79"/>
      <c r="B63" s="57" t="s">
        <v>60</v>
      </c>
      <c r="C63" s="129">
        <v>609808</v>
      </c>
      <c r="D63" s="52" t="e">
        <f>#REF!</f>
        <v>#REF!</v>
      </c>
      <c r="E63" s="54"/>
      <c r="F63" s="129">
        <v>609808</v>
      </c>
      <c r="G63" s="53"/>
      <c r="H63" s="10"/>
      <c r="I63" s="10"/>
      <c r="J63" s="10"/>
      <c r="K63" s="10"/>
      <c r="L63" s="114"/>
      <c r="M63" s="10"/>
      <c r="N63" s="10"/>
      <c r="S63"/>
      <c r="T63" s="9"/>
      <c r="U63"/>
      <c r="V63"/>
      <c r="X63"/>
      <c r="AA63" s="12"/>
      <c r="AB63" s="12"/>
    </row>
    <row r="64" spans="1:34" x14ac:dyDescent="0.2">
      <c r="A64" s="79"/>
      <c r="B64" s="74" t="s">
        <v>61</v>
      </c>
      <c r="C64" s="135" t="s">
        <v>88</v>
      </c>
      <c r="D64" s="52">
        <v>425.27</v>
      </c>
      <c r="E64" s="54"/>
      <c r="F64" s="135" t="s">
        <v>88</v>
      </c>
      <c r="G64" s="53"/>
      <c r="H64" s="59"/>
      <c r="I64" s="59"/>
      <c r="J64" s="59"/>
      <c r="K64" s="59"/>
      <c r="L64" s="10"/>
      <c r="M64" s="10"/>
      <c r="N64" s="10"/>
      <c r="O64" s="137"/>
      <c r="S64"/>
      <c r="T64" s="9"/>
      <c r="U64"/>
      <c r="V64"/>
      <c r="X64"/>
      <c r="AA64" s="12"/>
      <c r="AB64" s="12"/>
    </row>
    <row r="65" spans="1:32" x14ac:dyDescent="0.2">
      <c r="A65" s="79"/>
      <c r="B65" s="74" t="s">
        <v>62</v>
      </c>
      <c r="C65" s="129">
        <v>510094</v>
      </c>
      <c r="D65" s="52">
        <v>203.4</v>
      </c>
      <c r="E65" s="54"/>
      <c r="F65" s="129">
        <v>510094</v>
      </c>
      <c r="G65" s="15"/>
      <c r="H65" s="10"/>
      <c r="I65" s="10"/>
      <c r="J65" s="10"/>
      <c r="K65" s="10"/>
      <c r="L65" s="114"/>
      <c r="M65" s="10"/>
      <c r="N65" s="58"/>
      <c r="S65"/>
      <c r="T65" s="9"/>
      <c r="U65"/>
      <c r="V65"/>
      <c r="X65"/>
      <c r="AA65" s="12"/>
      <c r="AB65" s="12"/>
    </row>
    <row r="66" spans="1:32" x14ac:dyDescent="0.2">
      <c r="A66" s="12"/>
      <c r="B66" s="57" t="s">
        <v>63</v>
      </c>
      <c r="C66" s="51"/>
      <c r="D66" s="52"/>
      <c r="E66" s="116"/>
      <c r="F66" s="131"/>
      <c r="G66" s="53"/>
      <c r="H66" s="10"/>
      <c r="I66" s="10"/>
      <c r="J66" s="10"/>
      <c r="K66" s="10"/>
      <c r="L66" s="10"/>
      <c r="M66" s="10"/>
      <c r="N66" s="10"/>
      <c r="S66"/>
      <c r="T66" s="9"/>
      <c r="U66"/>
      <c r="V66"/>
      <c r="X66"/>
      <c r="AA66" s="12"/>
      <c r="AB66" s="12"/>
    </row>
    <row r="67" spans="1:32" ht="13.5" thickBot="1" x14ac:dyDescent="0.25">
      <c r="A67" s="12"/>
      <c r="B67" s="40"/>
      <c r="C67" s="41"/>
      <c r="D67" s="42"/>
      <c r="E67" s="56"/>
      <c r="F67" s="134"/>
      <c r="G67" s="15"/>
      <c r="H67" s="10"/>
      <c r="I67" s="10"/>
      <c r="J67" s="10"/>
      <c r="K67" s="10"/>
      <c r="L67" s="10"/>
      <c r="M67" s="10"/>
      <c r="N67" s="10"/>
      <c r="S67"/>
      <c r="T67" s="9"/>
      <c r="U67"/>
      <c r="V67"/>
      <c r="X67"/>
      <c r="AA67" s="12"/>
      <c r="AB67" s="12"/>
    </row>
    <row r="68" spans="1:32" s="2" customFormat="1" ht="15" x14ac:dyDescent="0.25">
      <c r="A68" s="15"/>
      <c r="B68" s="18" t="s">
        <v>64</v>
      </c>
      <c r="C68" s="19"/>
      <c r="D68" s="45"/>
      <c r="E68" s="20"/>
      <c r="F68" s="21"/>
      <c r="G68" s="15"/>
      <c r="H68" s="15"/>
      <c r="I68" s="15"/>
      <c r="J68" s="15"/>
      <c r="K68" s="15"/>
      <c r="L68" s="15"/>
      <c r="M68" s="15"/>
      <c r="N68" s="15"/>
      <c r="O68" s="106"/>
      <c r="P68" s="1"/>
      <c r="AA68" s="15"/>
      <c r="AB68" s="15"/>
    </row>
    <row r="69" spans="1:32" ht="13.5" thickBot="1" x14ac:dyDescent="0.25">
      <c r="A69" s="12"/>
      <c r="B69" s="46" t="s">
        <v>65</v>
      </c>
      <c r="C69" s="47"/>
      <c r="D69" s="48" t="s">
        <v>14</v>
      </c>
      <c r="E69" s="49"/>
      <c r="F69" s="50"/>
      <c r="G69" s="15"/>
      <c r="H69" s="10"/>
      <c r="I69" s="10"/>
      <c r="J69" s="10"/>
      <c r="K69" s="10"/>
      <c r="L69" s="10"/>
      <c r="M69" s="10"/>
      <c r="N69" s="10"/>
      <c r="P69" s="2"/>
      <c r="Q69" s="8"/>
      <c r="S69"/>
      <c r="T69" s="9"/>
      <c r="U69"/>
      <c r="V69"/>
      <c r="X69"/>
      <c r="AA69" s="12"/>
      <c r="AB69" s="12"/>
    </row>
    <row r="70" spans="1:32" x14ac:dyDescent="0.2">
      <c r="A70" s="12"/>
      <c r="B70" s="74" t="s">
        <v>66</v>
      </c>
      <c r="C70" s="51"/>
      <c r="D70" s="52">
        <f>(4+13.5)*90</f>
        <v>1575</v>
      </c>
      <c r="E70" s="60"/>
      <c r="F70" s="34"/>
      <c r="G70" s="15"/>
      <c r="H70" s="10"/>
      <c r="I70" s="10"/>
      <c r="J70" s="10"/>
      <c r="K70" s="10"/>
      <c r="L70" s="10"/>
      <c r="M70" s="10"/>
      <c r="N70" s="10"/>
      <c r="Q70" s="8"/>
      <c r="S70"/>
      <c r="T70" s="9"/>
      <c r="U70"/>
      <c r="V70"/>
      <c r="X70"/>
      <c r="AA70" s="12"/>
      <c r="AB70" s="12"/>
    </row>
    <row r="71" spans="1:32" x14ac:dyDescent="0.2">
      <c r="A71" s="12"/>
      <c r="B71" s="74" t="s">
        <v>67</v>
      </c>
      <c r="C71" s="51"/>
      <c r="D71" s="52">
        <v>90</v>
      </c>
      <c r="E71" s="73"/>
      <c r="F71" s="34"/>
      <c r="G71" s="15"/>
      <c r="H71" s="10"/>
      <c r="I71" s="10"/>
      <c r="J71" s="10"/>
      <c r="K71" s="10"/>
      <c r="L71" s="10"/>
      <c r="M71" s="10"/>
      <c r="N71" s="10"/>
      <c r="Q71" s="8"/>
      <c r="S71"/>
      <c r="T71" s="9"/>
      <c r="U71"/>
      <c r="V71"/>
      <c r="X71"/>
      <c r="AA71" s="12"/>
      <c r="AB71" s="12"/>
    </row>
    <row r="72" spans="1:32" x14ac:dyDescent="0.2">
      <c r="A72" s="12"/>
      <c r="B72" s="74" t="s">
        <v>68</v>
      </c>
      <c r="C72" s="51"/>
      <c r="D72" s="52">
        <v>3004.71</v>
      </c>
      <c r="E72" s="61"/>
      <c r="F72" s="34"/>
      <c r="G72" s="15"/>
      <c r="H72" s="10"/>
      <c r="I72" s="10"/>
      <c r="J72" s="10"/>
      <c r="K72" s="10"/>
      <c r="L72" s="10"/>
      <c r="M72" s="10"/>
      <c r="N72" s="10"/>
      <c r="Q72" s="8"/>
      <c r="S72"/>
      <c r="T72" s="9"/>
      <c r="U72"/>
      <c r="V72"/>
      <c r="X72"/>
      <c r="AA72" s="12"/>
      <c r="AB72" s="12"/>
    </row>
    <row r="73" spans="1:32" x14ac:dyDescent="0.2">
      <c r="A73" s="12"/>
      <c r="B73" s="74" t="s">
        <v>69</v>
      </c>
      <c r="C73" s="51"/>
      <c r="D73" s="52"/>
      <c r="E73" s="73"/>
      <c r="F73" s="34"/>
      <c r="G73" s="15"/>
      <c r="H73" s="10"/>
      <c r="I73" s="10"/>
      <c r="J73" s="10"/>
      <c r="K73" s="10"/>
      <c r="L73" s="10"/>
      <c r="M73" s="10"/>
      <c r="N73" s="10"/>
      <c r="Q73" s="8"/>
      <c r="S73"/>
      <c r="T73" s="9"/>
      <c r="U73"/>
      <c r="V73"/>
      <c r="X73"/>
      <c r="AA73" s="12"/>
      <c r="AB73" s="12"/>
    </row>
    <row r="74" spans="1:32" x14ac:dyDescent="0.2">
      <c r="A74" s="12"/>
      <c r="B74" s="74" t="s">
        <v>70</v>
      </c>
      <c r="C74" s="51"/>
      <c r="D74" s="52">
        <v>386.68</v>
      </c>
      <c r="E74" s="73"/>
      <c r="F74" s="34"/>
      <c r="G74" s="15"/>
      <c r="L74" s="10"/>
      <c r="M74" s="10"/>
      <c r="N74" s="10"/>
      <c r="Q74" s="8"/>
      <c r="S74"/>
      <c r="T74" s="9"/>
      <c r="U74"/>
      <c r="V74"/>
      <c r="X74"/>
      <c r="AA74" s="12"/>
      <c r="AB74" s="12"/>
    </row>
    <row r="75" spans="1:32" x14ac:dyDescent="0.2">
      <c r="A75" s="12"/>
      <c r="B75" s="57" t="s">
        <v>71</v>
      </c>
      <c r="C75" s="51"/>
      <c r="D75" s="52">
        <v>1646.3314638009499</v>
      </c>
      <c r="E75" s="54"/>
      <c r="F75" s="34"/>
      <c r="G75" s="15"/>
      <c r="H75" s="59"/>
      <c r="I75" s="59"/>
      <c r="J75" s="59"/>
      <c r="K75" s="59"/>
      <c r="L75" s="10"/>
      <c r="M75" s="10"/>
      <c r="N75" s="10"/>
      <c r="Q75" s="8"/>
      <c r="S75"/>
      <c r="T75" s="9"/>
      <c r="U75"/>
      <c r="V75"/>
      <c r="X75"/>
      <c r="AA75" s="12"/>
      <c r="AB75" s="12"/>
    </row>
    <row r="76" spans="1:32" x14ac:dyDescent="0.2">
      <c r="A76" s="12"/>
      <c r="B76" s="57" t="s">
        <v>72</v>
      </c>
      <c r="C76" s="51"/>
      <c r="D76" s="52">
        <v>335</v>
      </c>
      <c r="E76" s="103"/>
      <c r="F76" s="34"/>
      <c r="G76" s="53"/>
      <c r="H76" s="10"/>
      <c r="I76" s="10"/>
      <c r="J76" s="10"/>
      <c r="K76" s="10"/>
      <c r="L76" s="10"/>
      <c r="M76" s="10"/>
      <c r="N76" s="10"/>
      <c r="Q76" s="8"/>
      <c r="U76" s="8"/>
      <c r="AE76" s="12"/>
      <c r="AF76" s="12"/>
    </row>
    <row r="77" spans="1:32" x14ac:dyDescent="0.2">
      <c r="A77" s="12"/>
      <c r="B77" s="57" t="s">
        <v>73</v>
      </c>
      <c r="C77" s="51"/>
      <c r="D77" s="52">
        <v>150</v>
      </c>
      <c r="E77" s="54"/>
      <c r="F77" s="34"/>
      <c r="G77" s="53"/>
      <c r="H77" s="117"/>
      <c r="I77" s="117"/>
      <c r="J77" s="117"/>
      <c r="K77" s="117"/>
      <c r="L77" s="12"/>
      <c r="M77" s="62"/>
      <c r="N77" s="12"/>
      <c r="Q77" s="8"/>
      <c r="U77" s="8"/>
      <c r="AE77" s="12"/>
      <c r="AF77" s="12"/>
    </row>
    <row r="78" spans="1:32" x14ac:dyDescent="0.2">
      <c r="A78" s="12"/>
      <c r="B78" s="74" t="s">
        <v>74</v>
      </c>
      <c r="C78" s="51"/>
      <c r="D78" s="52">
        <v>90</v>
      </c>
      <c r="E78" s="54"/>
      <c r="F78" s="34"/>
      <c r="G78" s="53"/>
      <c r="H78" s="117"/>
      <c r="I78" s="117"/>
      <c r="J78" s="117"/>
      <c r="K78" s="117"/>
      <c r="L78" s="79"/>
      <c r="M78" s="62"/>
      <c r="N78" s="12"/>
      <c r="P78" s="95"/>
      <c r="Q78" s="8"/>
      <c r="U78" s="8"/>
      <c r="AE78" s="12"/>
      <c r="AF78" s="12"/>
    </row>
    <row r="79" spans="1:32" x14ac:dyDescent="0.2">
      <c r="A79" s="12"/>
      <c r="B79" s="57" t="s">
        <v>75</v>
      </c>
      <c r="C79" s="51"/>
      <c r="D79" s="52">
        <f>34.75+429.47+152.64</f>
        <v>616.86</v>
      </c>
      <c r="E79" s="54"/>
      <c r="F79" s="34"/>
      <c r="G79" s="15"/>
      <c r="H79" s="117"/>
      <c r="I79" s="117"/>
      <c r="J79" s="117"/>
      <c r="K79" s="117"/>
      <c r="L79" s="12"/>
      <c r="M79" s="62"/>
      <c r="N79" s="12"/>
      <c r="P79" s="8"/>
      <c r="S79" s="8"/>
      <c r="U79" s="8"/>
      <c r="AE79" s="12"/>
      <c r="AF79" s="12"/>
    </row>
    <row r="80" spans="1:32" x14ac:dyDescent="0.2">
      <c r="A80" s="12"/>
      <c r="B80" s="74" t="s">
        <v>76</v>
      </c>
      <c r="C80" s="51"/>
      <c r="D80" s="52">
        <f>90*1.5</f>
        <v>135</v>
      </c>
      <c r="E80" s="54"/>
      <c r="F80" s="34"/>
      <c r="G80" s="15"/>
      <c r="H80" s="117"/>
      <c r="I80" s="117"/>
      <c r="J80" s="117"/>
      <c r="K80" s="117"/>
      <c r="L80" s="12"/>
      <c r="M80" s="62"/>
      <c r="N80" s="12"/>
      <c r="Q80" s="8"/>
      <c r="U80" s="8"/>
      <c r="AE80" s="12"/>
      <c r="AF80" s="12"/>
    </row>
    <row r="81" spans="1:34" x14ac:dyDescent="0.2">
      <c r="A81" s="12"/>
      <c r="B81" s="74" t="s">
        <v>77</v>
      </c>
      <c r="C81" s="51"/>
      <c r="D81" s="52"/>
      <c r="E81" s="54"/>
      <c r="F81" s="34"/>
      <c r="G81" s="15"/>
      <c r="H81" s="117"/>
      <c r="I81" s="117"/>
      <c r="J81" s="117"/>
      <c r="K81" s="117"/>
      <c r="L81" s="12"/>
      <c r="M81" s="62"/>
      <c r="N81" s="12"/>
      <c r="Q81" s="8"/>
      <c r="AE81" s="12"/>
      <c r="AF81" s="12"/>
    </row>
    <row r="82" spans="1:34" x14ac:dyDescent="0.2">
      <c r="A82" s="12"/>
      <c r="B82" s="74" t="s">
        <v>77</v>
      </c>
      <c r="C82" s="51"/>
      <c r="D82" s="52"/>
      <c r="E82" s="54"/>
      <c r="F82" s="34"/>
      <c r="G82" s="66"/>
      <c r="H82" s="62"/>
      <c r="I82" s="62"/>
      <c r="J82" s="62"/>
      <c r="K82" s="62"/>
      <c r="L82" s="12"/>
      <c r="M82" s="62"/>
      <c r="N82" s="12"/>
      <c r="P82" s="111"/>
      <c r="Q82" s="8"/>
      <c r="AE82" s="12"/>
      <c r="AF82" s="12"/>
    </row>
    <row r="83" spans="1:34" ht="13.5" thickBot="1" x14ac:dyDescent="0.25">
      <c r="A83" s="12"/>
      <c r="B83" s="63"/>
      <c r="C83" s="64"/>
      <c r="D83" s="64"/>
      <c r="E83" s="65"/>
      <c r="F83" s="44"/>
      <c r="G83" s="12"/>
      <c r="H83" s="81"/>
      <c r="I83" s="81"/>
      <c r="J83" s="81"/>
      <c r="K83" s="81"/>
      <c r="L83" s="12"/>
      <c r="M83" s="81"/>
      <c r="N83" s="12"/>
      <c r="Q83"/>
      <c r="X83" s="82"/>
      <c r="AE83" s="12"/>
      <c r="AF83" s="12"/>
    </row>
    <row r="84" spans="1:34" ht="16.5" thickTop="1" x14ac:dyDescent="0.25">
      <c r="A84" s="12"/>
      <c r="B84" s="118" t="s">
        <v>78</v>
      </c>
      <c r="C84" s="119"/>
      <c r="D84" s="119"/>
      <c r="E84" s="120"/>
      <c r="F84" s="121"/>
      <c r="G84" s="12"/>
      <c r="H84" s="81"/>
      <c r="I84" s="81"/>
      <c r="J84" s="81"/>
      <c r="K84" s="81"/>
      <c r="L84" s="12"/>
      <c r="M84" s="81"/>
      <c r="N84" s="12"/>
      <c r="P84" s="84"/>
      <c r="Q84" s="83"/>
      <c r="R84" s="84"/>
      <c r="S84" s="84"/>
      <c r="X84" s="82"/>
      <c r="AE84" s="12"/>
      <c r="AF84" s="12"/>
    </row>
    <row r="85" spans="1:34" ht="16.5" thickBot="1" x14ac:dyDescent="0.3">
      <c r="A85" s="85"/>
      <c r="B85" s="97"/>
      <c r="C85" s="85"/>
      <c r="D85" s="85"/>
      <c r="E85" s="98"/>
      <c r="F85" s="99"/>
      <c r="G85" s="85"/>
      <c r="H85" s="86"/>
      <c r="I85" s="86"/>
      <c r="J85" s="86"/>
      <c r="K85" s="86"/>
      <c r="L85" s="85"/>
      <c r="M85" s="86"/>
      <c r="N85" s="85"/>
      <c r="O85" s="107"/>
      <c r="P85"/>
      <c r="Q85"/>
      <c r="T85" s="84"/>
      <c r="U85" s="84"/>
      <c r="V85" s="84"/>
      <c r="W85" s="83"/>
      <c r="X85" s="83"/>
      <c r="Y85" s="83"/>
      <c r="Z85" s="83"/>
      <c r="AA85" s="83"/>
      <c r="AB85" s="83"/>
      <c r="AC85" s="83"/>
      <c r="AD85" s="83"/>
      <c r="AE85" s="85"/>
      <c r="AF85" s="85"/>
      <c r="AG85" s="83"/>
      <c r="AH85" s="83"/>
    </row>
    <row r="86" spans="1:34" x14ac:dyDescent="0.2">
      <c r="A86" s="12"/>
      <c r="B86" s="15"/>
      <c r="C86" s="12"/>
      <c r="D86" s="12"/>
      <c r="E86" s="10"/>
      <c r="F86" s="11"/>
      <c r="G86" s="12"/>
      <c r="H86" s="86"/>
      <c r="I86" s="108"/>
      <c r="J86" s="108"/>
      <c r="K86" s="108"/>
      <c r="L86" s="88" t="e">
        <f>IF(#REF!&gt;#REF!,"Material","Service")</f>
        <v>#REF!</v>
      </c>
      <c r="M86" s="89"/>
      <c r="N86" s="90"/>
      <c r="P86"/>
      <c r="Q86"/>
      <c r="T86"/>
      <c r="U86"/>
      <c r="V86"/>
      <c r="X86"/>
    </row>
    <row r="87" spans="1:34" ht="13.5" thickBot="1" x14ac:dyDescent="0.25">
      <c r="A87" s="12"/>
      <c r="B87" s="15"/>
      <c r="C87" s="12"/>
      <c r="D87" s="12"/>
      <c r="E87" s="10"/>
      <c r="F87" s="11"/>
      <c r="G87" s="12"/>
      <c r="H87" s="86"/>
      <c r="I87" s="109"/>
      <c r="J87" s="109"/>
      <c r="K87" s="109"/>
      <c r="L87" s="91" t="e">
        <f>IF(#REF!&gt;#REF!,#REF!,#REF!)</f>
        <v>#REF!</v>
      </c>
      <c r="M87" s="92" t="s">
        <v>79</v>
      </c>
      <c r="N87" s="93"/>
      <c r="T87"/>
      <c r="U87"/>
      <c r="V87"/>
      <c r="X87"/>
    </row>
    <row r="88" spans="1:34" x14ac:dyDescent="0.2">
      <c r="B88" s="12"/>
      <c r="C88" s="12"/>
      <c r="D88" s="12"/>
      <c r="E88" s="10"/>
      <c r="F88" s="10"/>
    </row>
    <row r="89" spans="1:34" x14ac:dyDescent="0.2">
      <c r="B89" s="12"/>
      <c r="C89" s="12"/>
      <c r="D89" s="12"/>
      <c r="E89" s="10"/>
      <c r="F89" s="10"/>
    </row>
    <row r="90" spans="1:34" x14ac:dyDescent="0.2">
      <c r="B90" s="12"/>
      <c r="C90" s="12"/>
      <c r="D90" s="12"/>
      <c r="E90" s="10"/>
      <c r="F90" s="10"/>
    </row>
    <row r="91" spans="1:34" x14ac:dyDescent="0.2">
      <c r="B91" s="12"/>
      <c r="C91" s="12"/>
      <c r="D91" s="12"/>
      <c r="E91" s="10"/>
      <c r="F91" s="10"/>
    </row>
    <row r="92" spans="1:34" x14ac:dyDescent="0.2">
      <c r="B92" s="12"/>
      <c r="C92" s="12"/>
      <c r="D92" s="12"/>
      <c r="E92" s="10"/>
      <c r="F92" s="10"/>
    </row>
    <row r="93" spans="1:34" x14ac:dyDescent="0.2">
      <c r="B93" s="12"/>
      <c r="C93" s="12"/>
      <c r="D93" s="12"/>
      <c r="E93" s="10"/>
      <c r="F93" s="10"/>
    </row>
    <row r="94" spans="1:34" x14ac:dyDescent="0.2">
      <c r="B94" s="12"/>
      <c r="C94" s="12"/>
      <c r="D94" s="12"/>
      <c r="E94" s="10"/>
      <c r="F94" s="10"/>
    </row>
    <row r="95" spans="1:34" x14ac:dyDescent="0.2">
      <c r="B95" s="12"/>
      <c r="C95" s="12"/>
      <c r="D95" s="12"/>
      <c r="E95" s="10"/>
      <c r="F95" s="10"/>
    </row>
    <row r="96" spans="1:34" x14ac:dyDescent="0.2">
      <c r="B96" s="12"/>
      <c r="C96" s="12"/>
      <c r="D96" s="12"/>
      <c r="E96" s="10"/>
      <c r="F96" s="10"/>
    </row>
    <row r="97" spans="2:6" x14ac:dyDescent="0.2">
      <c r="B97" s="12"/>
      <c r="C97" s="12"/>
      <c r="D97" s="12"/>
      <c r="E97" s="10"/>
      <c r="F97" s="10"/>
    </row>
    <row r="98" spans="2:6" x14ac:dyDescent="0.2">
      <c r="B98" s="12"/>
      <c r="C98" s="12"/>
      <c r="D98" s="12"/>
      <c r="E98" s="10"/>
      <c r="F98" s="10"/>
    </row>
    <row r="99" spans="2:6" x14ac:dyDescent="0.2">
      <c r="B99" s="12"/>
      <c r="C99" s="12"/>
      <c r="D99" s="12"/>
      <c r="E99" s="10"/>
      <c r="F99" s="10"/>
    </row>
    <row r="100" spans="2:6" x14ac:dyDescent="0.2">
      <c r="B100" s="12"/>
      <c r="C100" s="12"/>
      <c r="D100" s="12"/>
      <c r="E100" s="10"/>
      <c r="F100" s="10"/>
    </row>
    <row r="101" spans="2:6" x14ac:dyDescent="0.2">
      <c r="B101" s="12"/>
      <c r="C101" s="12"/>
      <c r="D101" s="12"/>
      <c r="E101" s="10"/>
      <c r="F101" s="10"/>
    </row>
    <row r="102" spans="2:6" x14ac:dyDescent="0.2">
      <c r="B102" s="12"/>
      <c r="C102" s="12"/>
      <c r="D102" s="12"/>
      <c r="E102" s="10"/>
      <c r="F102" s="10"/>
    </row>
    <row r="103" spans="2:6" x14ac:dyDescent="0.2">
      <c r="B103" s="12"/>
      <c r="C103" s="12"/>
      <c r="D103" s="12"/>
      <c r="E103" s="10"/>
      <c r="F103" s="10"/>
    </row>
    <row r="104" spans="2:6" x14ac:dyDescent="0.2">
      <c r="B104" s="12"/>
      <c r="C104" s="12"/>
      <c r="D104" s="12"/>
      <c r="E104" s="10"/>
      <c r="F104" s="10"/>
    </row>
    <row r="105" spans="2:6" x14ac:dyDescent="0.2">
      <c r="B105" s="12"/>
      <c r="C105" s="12"/>
      <c r="D105" s="12"/>
      <c r="E105" s="10"/>
      <c r="F105" s="10"/>
    </row>
    <row r="106" spans="2:6" x14ac:dyDescent="0.2">
      <c r="B106" s="12"/>
      <c r="C106" s="12"/>
      <c r="D106" s="12"/>
      <c r="E106" s="10"/>
      <c r="F106" s="10"/>
    </row>
    <row r="107" spans="2:6" x14ac:dyDescent="0.2">
      <c r="B107" s="12"/>
      <c r="C107" s="12"/>
      <c r="D107" s="12"/>
      <c r="E107" s="10"/>
      <c r="F107" s="10"/>
    </row>
    <row r="108" spans="2:6" x14ac:dyDescent="0.2">
      <c r="B108" s="12"/>
      <c r="C108" s="12"/>
      <c r="D108" s="12"/>
      <c r="E108" s="10"/>
      <c r="F108" s="10"/>
    </row>
    <row r="109" spans="2:6" x14ac:dyDescent="0.2">
      <c r="B109" s="12"/>
      <c r="C109" s="12"/>
      <c r="D109" s="12"/>
      <c r="E109" s="10"/>
      <c r="F109" s="10"/>
    </row>
    <row r="110" spans="2:6" x14ac:dyDescent="0.2">
      <c r="B110" s="12"/>
      <c r="C110" s="12"/>
      <c r="D110" s="12"/>
      <c r="E110" s="10"/>
      <c r="F110" s="10"/>
    </row>
    <row r="111" spans="2:6" x14ac:dyDescent="0.2">
      <c r="B111" s="12"/>
      <c r="C111" s="12"/>
      <c r="D111" s="12"/>
      <c r="E111" s="10"/>
      <c r="F111" s="10"/>
    </row>
    <row r="112" spans="2:6" x14ac:dyDescent="0.2">
      <c r="B112" s="12"/>
      <c r="C112" s="12"/>
      <c r="D112" s="12"/>
      <c r="E112" s="10"/>
      <c r="F112" s="10"/>
    </row>
    <row r="113" spans="2:6" x14ac:dyDescent="0.2">
      <c r="B113" s="12"/>
      <c r="C113" s="12"/>
      <c r="D113" s="12"/>
      <c r="E113" s="10"/>
      <c r="F113" s="10"/>
    </row>
  </sheetData>
  <sheetProtection formatCells="0" formatColumns="0"/>
  <mergeCells count="1">
    <mergeCell ref="B2:F2"/>
  </mergeCells>
  <phoneticPr fontId="7" type="noConversion"/>
  <printOptions gridLines="1"/>
  <pageMargins left="0.98425196850393704" right="0.78740157480314965" top="0.98425196850393704" bottom="0.98425196850393704" header="0.51181102362204722" footer="0.51181102362204722"/>
  <pageSetup paperSize="9" scale="46" orientation="portrait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2f18ca-49d4-4b50-9b9c-de1653fab1e1">
      <Terms xmlns="http://schemas.microsoft.com/office/infopath/2007/PartnerControls"/>
    </lcf76f155ced4ddcb4097134ff3c332f>
    <TaxCatchAll xmlns="c7dd2cda-f2dd-4dfd-9875-e45482f6c65a" xsi:nil="true"/>
  </documentManagement>
</p:properties>
</file>

<file path=customXml/item2.xml><?xml version="1.0" encoding="utf-8"?>
<scriptIds xmlns="http://schemas.microsoft.com/office/extensibility/maker/v1.0" id="script-ids-node-id">
  <scriptId xmlns="" id="ms-officescript%3A%2F%2Fsharepoint_itemlink%2Fb!kXgO2NbdBk2UdxD1UYuI19os3cfd8v1NmHXkVIL2xlrKGC-F1ElQS5uc3hZT-rHh%2F013MWTHBMESSP2RGKSMVEIBUMAK6ZUSYRS:ms-officescript%3A%2F%2Fsharepoint_sharinglink%2Fu!aHR0cHM6Ly9hc3lzbWljcm8uc2hhcmVwb2ludC5jb20vOnU6L3MvQ29uY2VwdEFTWVNEb2N1bWVudFNlcnZlci9FWVNVbjZpWlVtVklnTkdBVjdOSllqSUJRQUc5VE1GZV9HQTB5T3REakJLSUpn"/>
</scriptId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01BBC5119E524A92B7FE09E77D259C" ma:contentTypeVersion="15" ma:contentTypeDescription="Ein neues Dokument erstellen." ma:contentTypeScope="" ma:versionID="c5c0b05ce2e5976a62060f542f532247">
  <xsd:schema xmlns:xsd="http://www.w3.org/2001/XMLSchema" xmlns:xs="http://www.w3.org/2001/XMLSchema" xmlns:p="http://schemas.microsoft.com/office/2006/metadata/properties" xmlns:ns2="852f18ca-49d4-4b50-9b9c-de1653fab1e1" xmlns:ns3="c7dd2cda-f2dd-4dfd-9875-e45482f6c65a" targetNamespace="http://schemas.microsoft.com/office/2006/metadata/properties" ma:root="true" ma:fieldsID="9b1a89ed485c02eb66dc07ab539657c8" ns2:_="" ns3:_="">
    <xsd:import namespace="852f18ca-49d4-4b50-9b9c-de1653fab1e1"/>
    <xsd:import namespace="c7dd2cda-f2dd-4dfd-9875-e45482f6c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f18ca-49d4-4b50-9b9c-de1653fab1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825f872-c86f-4815-b6cb-e52c1c2fd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d2cda-f2dd-4dfd-9875-e45482f6c6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62cf74-5a75-477d-bc72-3c6cca54b4ba}" ma:internalName="TaxCatchAll" ma:showField="CatchAllData" ma:web="c7dd2cda-f2dd-4dfd-9875-e45482f6c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BB3AF2-62CC-464E-94B3-DB9A2E44CDF9}">
  <ds:schemaRefs>
    <ds:schemaRef ds:uri="http://schemas.microsoft.com/office/2006/metadata/properties"/>
    <ds:schemaRef ds:uri="http://schemas.microsoft.com/office/infopath/2007/PartnerControls"/>
    <ds:schemaRef ds:uri="852f18ca-49d4-4b50-9b9c-de1653fab1e1"/>
    <ds:schemaRef ds:uri="c7dd2cda-f2dd-4dfd-9875-e45482f6c65a"/>
  </ds:schemaRefs>
</ds:datastoreItem>
</file>

<file path=customXml/itemProps2.xml><?xml version="1.0" encoding="utf-8"?>
<ds:datastoreItem xmlns:ds="http://schemas.openxmlformats.org/officeDocument/2006/customXml" ds:itemID="{EF9252F6-996E-4328-B9B8-13EF7DD050F3}">
  <ds:schemaRefs>
    <ds:schemaRef ds:uri="http://schemas.microsoft.com/office/extensibility/maker/v1.0"/>
    <ds:schemaRef ds:uri=""/>
  </ds:schemaRefs>
</ds:datastoreItem>
</file>

<file path=customXml/itemProps3.xml><?xml version="1.0" encoding="utf-8"?>
<ds:datastoreItem xmlns:ds="http://schemas.openxmlformats.org/officeDocument/2006/customXml" ds:itemID="{F9BEB5BD-C473-40A8-BA2B-F548E525BF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B9DC06-530D-4AF4-8194-F7E083C0B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f18ca-49d4-4b50-9b9c-de1653fab1e1"/>
    <ds:schemaRef ds:uri="c7dd2cda-f2dd-4dfd-9875-e45482f6c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 - ASML Scara XT</vt:lpstr>
      <vt:lpstr>'TW - ASML Scara XT'!Print_Area</vt:lpstr>
    </vt:vector>
  </TitlesOfParts>
  <Manager/>
  <Company>ASYS GmbH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Weber</dc:creator>
  <cp:keywords/>
  <dc:description/>
  <cp:lastModifiedBy>twintern</cp:lastModifiedBy>
  <cp:revision/>
  <dcterms:created xsi:type="dcterms:W3CDTF">2011-12-05T09:49:42Z</dcterms:created>
  <dcterms:modified xsi:type="dcterms:W3CDTF">2025-12-05T08:53:01Z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0x0101001D01BBC5119E524A92B7FE09E77D259C</vt:lpwstr>
  </property>
  <property fmtid="{D5CDD505-2E9C-101B-9397-08002B2CF9AE}" pid="3" name="MediaServiceImageTags">
    <vt:lpwstr/>
  </property>
</Properties>
</file>